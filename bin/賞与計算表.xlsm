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5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賞与計算表\bin\"/>
    </mc:Choice>
  </mc:AlternateContent>
  <xr:revisionPtr revIDLastSave="0" documentId="13_ncr:1_{FA55D320-98F2-4894-BCB5-C06E08A5DCFE}" xr6:coauthVersionLast="47" xr6:coauthVersionMax="47" xr10:uidLastSave="{00000000-0000-0000-0000-000000000000}"/>
  <bookViews>
    <workbookView xWindow="-120" yWindow="-120" windowWidth="29040" windowHeight="17640" activeTab="2" xr2:uid="{00000000-000D-0000-FFFF-FFFF00000000}"/>
  </bookViews>
  <sheets>
    <sheet name="Main" sheetId="2" r:id="rId1"/>
    <sheet name="Masta" sheetId="3" r:id="rId2"/>
    <sheet name="Data" sheetId="1" r:id="rId3"/>
    <sheet name="Data (臨時)" sheetId="8" r:id="rId4"/>
    <sheet name="PD" sheetId="5" r:id="rId5"/>
    <sheet name="PDR" sheetId="6" r:id="rId6"/>
    <sheet name="Check" sheetId="4" r:id="rId7"/>
    <sheet name="Memo" sheetId="7" r:id="rId8"/>
  </sheets>
  <functionGroups builtInGroupCount="19"/>
  <definedNames>
    <definedName name="_xlnm.Print_Area" localSheetId="6">Check!$A$1:$N$40</definedName>
    <definedName name="_xlnm.Print_Area" localSheetId="2">Data!$A$4:$U$78</definedName>
    <definedName name="_xlnm.Print_Area" localSheetId="3">'Data (臨時)'!$A$4:$U$79</definedName>
    <definedName name="_xlnm.Print_Area" localSheetId="1">Masta!$A$1:$M$100</definedName>
    <definedName name="_xlnm.Print_Area" localSheetId="5">PDR!$A$2:$F$29</definedName>
    <definedName name="_xlnm.Print_Titles" localSheetId="2">Data!$4:$6</definedName>
    <definedName name="_xlnm.Print_Titles" localSheetId="3">'Data (臨時)'!$4:$6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58" i="1" l="1"/>
  <c r="N58" i="1"/>
  <c r="M58" i="1"/>
  <c r="L58" i="1" s="1"/>
  <c r="H58" i="1"/>
  <c r="O57" i="1"/>
  <c r="N57" i="1"/>
  <c r="M57" i="1"/>
  <c r="L57" i="1"/>
  <c r="H57" i="1"/>
  <c r="O56" i="1"/>
  <c r="N56" i="1"/>
  <c r="M56" i="1"/>
  <c r="L56" i="1" s="1"/>
  <c r="H56" i="1"/>
  <c r="O55" i="1"/>
  <c r="N55" i="1"/>
  <c r="M55" i="1"/>
  <c r="L55" i="1" s="1"/>
  <c r="H55" i="1"/>
  <c r="O54" i="1"/>
  <c r="N54" i="1"/>
  <c r="M54" i="1"/>
  <c r="L54" i="1" s="1"/>
  <c r="H54" i="1"/>
  <c r="O53" i="1"/>
  <c r="N53" i="1"/>
  <c r="M53" i="1"/>
  <c r="L53" i="1"/>
  <c r="H53" i="1"/>
  <c r="O52" i="1"/>
  <c r="N52" i="1"/>
  <c r="M52" i="1"/>
  <c r="L52" i="1" s="1"/>
  <c r="H52" i="1"/>
  <c r="O51" i="1"/>
  <c r="N51" i="1"/>
  <c r="M51" i="1"/>
  <c r="L51" i="1" s="1"/>
  <c r="H51" i="1"/>
  <c r="O50" i="1"/>
  <c r="N50" i="1"/>
  <c r="M50" i="1"/>
  <c r="L50" i="1"/>
  <c r="H50" i="1"/>
  <c r="O49" i="1"/>
  <c r="N49" i="1"/>
  <c r="M49" i="1"/>
  <c r="L49" i="1" s="1"/>
  <c r="H49" i="1"/>
  <c r="O48" i="1"/>
  <c r="N48" i="1"/>
  <c r="M48" i="1"/>
  <c r="L48" i="1" s="1"/>
  <c r="H48" i="1"/>
  <c r="O47" i="1"/>
  <c r="N47" i="1"/>
  <c r="M47" i="1"/>
  <c r="L47" i="1"/>
  <c r="H47" i="1"/>
  <c r="O46" i="1"/>
  <c r="N46" i="1"/>
  <c r="M46" i="1"/>
  <c r="L46" i="1"/>
  <c r="H46" i="1"/>
  <c r="O45" i="1"/>
  <c r="N45" i="1"/>
  <c r="M45" i="1"/>
  <c r="L45" i="1"/>
  <c r="H45" i="1"/>
  <c r="O44" i="1"/>
  <c r="N44" i="1"/>
  <c r="M44" i="1"/>
  <c r="L44" i="1" s="1"/>
  <c r="H44" i="1"/>
  <c r="O43" i="1"/>
  <c r="N43" i="1"/>
  <c r="M43" i="1"/>
  <c r="L43" i="1"/>
  <c r="H43" i="1"/>
  <c r="O42" i="1"/>
  <c r="N42" i="1"/>
  <c r="M42" i="1"/>
  <c r="L42" i="1" s="1"/>
  <c r="H42" i="1"/>
  <c r="O41" i="1"/>
  <c r="N41" i="1"/>
  <c r="M41" i="1"/>
  <c r="L41" i="1"/>
  <c r="H41" i="1"/>
  <c r="O40" i="1"/>
  <c r="N40" i="1"/>
  <c r="M40" i="1"/>
  <c r="L40" i="1"/>
  <c r="H40" i="1"/>
  <c r="O39" i="1"/>
  <c r="N39" i="1"/>
  <c r="M39" i="1"/>
  <c r="L39" i="1" s="1"/>
  <c r="H39" i="1"/>
  <c r="O38" i="1"/>
  <c r="N38" i="1"/>
  <c r="M38" i="1"/>
  <c r="L38" i="1" s="1"/>
  <c r="H38" i="1"/>
  <c r="O37" i="1"/>
  <c r="N37" i="1"/>
  <c r="M37" i="1"/>
  <c r="L37" i="1"/>
  <c r="H37" i="1"/>
  <c r="O36" i="1"/>
  <c r="N36" i="1"/>
  <c r="M36" i="1"/>
  <c r="L36" i="1" s="1"/>
  <c r="H36" i="1"/>
  <c r="O35" i="1"/>
  <c r="N35" i="1"/>
  <c r="M35" i="1"/>
  <c r="L35" i="1" s="1"/>
  <c r="H35" i="1"/>
  <c r="O34" i="1"/>
  <c r="N34" i="1"/>
  <c r="M34" i="1"/>
  <c r="L34" i="1"/>
  <c r="H34" i="1"/>
  <c r="O27" i="1"/>
  <c r="N27" i="1"/>
  <c r="M27" i="1"/>
  <c r="L27" i="1"/>
  <c r="H27" i="1"/>
  <c r="O26" i="1"/>
  <c r="N26" i="1"/>
  <c r="M26" i="1"/>
  <c r="L26" i="1" s="1"/>
  <c r="H26" i="1"/>
  <c r="O23" i="1"/>
  <c r="N23" i="1"/>
  <c r="M23" i="1"/>
  <c r="L23" i="1" s="1"/>
  <c r="H23" i="1"/>
  <c r="O22" i="1"/>
  <c r="N22" i="1"/>
  <c r="M22" i="1"/>
  <c r="L22" i="1"/>
  <c r="H22" i="1"/>
  <c r="O19" i="1"/>
  <c r="N19" i="1"/>
  <c r="M19" i="1"/>
  <c r="L19" i="1" s="1"/>
  <c r="H19" i="1"/>
  <c r="O18" i="1"/>
  <c r="N18" i="1"/>
  <c r="M18" i="1"/>
  <c r="L18" i="1" s="1"/>
  <c r="H18" i="1"/>
  <c r="O17" i="1"/>
  <c r="N17" i="1"/>
  <c r="M17" i="1"/>
  <c r="L17" i="1" s="1"/>
  <c r="H17" i="1"/>
  <c r="O14" i="1"/>
  <c r="N14" i="1"/>
  <c r="M14" i="1"/>
  <c r="L14" i="1" s="1"/>
  <c r="H14" i="1"/>
  <c r="O13" i="1"/>
  <c r="N13" i="1"/>
  <c r="M13" i="1"/>
  <c r="L13" i="1" s="1"/>
  <c r="H13" i="1"/>
  <c r="O12" i="1"/>
  <c r="N12" i="1"/>
  <c r="M12" i="1"/>
  <c r="L12" i="1"/>
  <c r="H12" i="1"/>
  <c r="O11" i="1"/>
  <c r="N11" i="1"/>
  <c r="M11" i="1"/>
  <c r="L11" i="1"/>
  <c r="H11" i="1"/>
  <c r="F79" i="8" l="1"/>
  <c r="E79" i="8"/>
  <c r="U79" i="8"/>
  <c r="R79" i="8"/>
  <c r="U77" i="8"/>
  <c r="R77" i="8"/>
  <c r="O77" i="8"/>
  <c r="N77" i="8"/>
  <c r="H75" i="8"/>
  <c r="M75" i="8" s="1"/>
  <c r="U74" i="8"/>
  <c r="R74" i="8"/>
  <c r="H74" i="8"/>
  <c r="M74" i="8" s="1"/>
  <c r="U73" i="8"/>
  <c r="R73" i="8"/>
  <c r="M73" i="8"/>
  <c r="L73" i="8" s="1"/>
  <c r="H73" i="8"/>
  <c r="U72" i="8"/>
  <c r="R72" i="8"/>
  <c r="M72" i="8"/>
  <c r="O72" i="8" s="1"/>
  <c r="L72" i="8"/>
  <c r="H72" i="8"/>
  <c r="U71" i="8"/>
  <c r="R71" i="8"/>
  <c r="H71" i="8"/>
  <c r="M71" i="8" s="1"/>
  <c r="U70" i="8"/>
  <c r="R70" i="8"/>
  <c r="H70" i="8"/>
  <c r="M70" i="8" s="1"/>
  <c r="U69" i="8"/>
  <c r="R69" i="8"/>
  <c r="M69" i="8"/>
  <c r="L69" i="8" s="1"/>
  <c r="H69" i="8"/>
  <c r="U68" i="8"/>
  <c r="R68" i="8"/>
  <c r="M68" i="8"/>
  <c r="O68" i="8" s="1"/>
  <c r="L68" i="8"/>
  <c r="H68" i="8"/>
  <c r="U65" i="8"/>
  <c r="R65" i="8"/>
  <c r="O65" i="8"/>
  <c r="N65" i="8"/>
  <c r="N63" i="8"/>
  <c r="L63" i="8"/>
  <c r="N62" i="8"/>
  <c r="L62" i="8"/>
  <c r="N61" i="8"/>
  <c r="L61" i="8"/>
  <c r="U58" i="8"/>
  <c r="R58" i="8"/>
  <c r="F58" i="8"/>
  <c r="E58" i="8"/>
  <c r="U56" i="8"/>
  <c r="R56" i="8"/>
  <c r="M56" i="8"/>
  <c r="L56" i="8" s="1"/>
  <c r="U55" i="8"/>
  <c r="R55" i="8"/>
  <c r="H55" i="8"/>
  <c r="M55" i="8" s="1"/>
  <c r="U54" i="8"/>
  <c r="R54" i="8"/>
  <c r="O54" i="8"/>
  <c r="N54" i="8"/>
  <c r="L54" i="8"/>
  <c r="U53" i="8"/>
  <c r="R53" i="8"/>
  <c r="H53" i="8"/>
  <c r="M53" i="8" s="1"/>
  <c r="U52" i="8"/>
  <c r="R52" i="8"/>
  <c r="H52" i="8"/>
  <c r="M52" i="8" s="1"/>
  <c r="U51" i="8"/>
  <c r="R51" i="8"/>
  <c r="M51" i="8"/>
  <c r="L51" i="8" s="1"/>
  <c r="U50" i="8"/>
  <c r="R50" i="8"/>
  <c r="H50" i="8"/>
  <c r="M50" i="8" s="1"/>
  <c r="U49" i="8"/>
  <c r="R49" i="8"/>
  <c r="O49" i="8"/>
  <c r="N49" i="8"/>
  <c r="M49" i="8"/>
  <c r="L49" i="8"/>
  <c r="U48" i="8"/>
  <c r="R48" i="8"/>
  <c r="M48" i="8"/>
  <c r="O48" i="8" s="1"/>
  <c r="L48" i="8"/>
  <c r="H48" i="8"/>
  <c r="U47" i="8"/>
  <c r="R47" i="8"/>
  <c r="O47" i="8"/>
  <c r="M47" i="8"/>
  <c r="N47" i="8" s="1"/>
  <c r="U46" i="8"/>
  <c r="R46" i="8"/>
  <c r="M46" i="8"/>
  <c r="L46" i="8" s="1"/>
  <c r="U45" i="8"/>
  <c r="R45" i="8"/>
  <c r="H45" i="8"/>
  <c r="M45" i="8" s="1"/>
  <c r="U44" i="8"/>
  <c r="R44" i="8"/>
  <c r="H44" i="8"/>
  <c r="M44" i="8" s="1"/>
  <c r="U43" i="8"/>
  <c r="R43" i="8"/>
  <c r="M43" i="8"/>
  <c r="L43" i="8" s="1"/>
  <c r="H43" i="8"/>
  <c r="U42" i="8"/>
  <c r="R42" i="8"/>
  <c r="M42" i="8"/>
  <c r="O42" i="8" s="1"/>
  <c r="L42" i="8"/>
  <c r="H42" i="8"/>
  <c r="U41" i="8"/>
  <c r="R41" i="8"/>
  <c r="H41" i="8"/>
  <c r="M41" i="8" s="1"/>
  <c r="U40" i="8"/>
  <c r="R40" i="8"/>
  <c r="H40" i="8"/>
  <c r="M40" i="8" s="1"/>
  <c r="U39" i="8"/>
  <c r="R39" i="8"/>
  <c r="M39" i="8"/>
  <c r="L39" i="8" s="1"/>
  <c r="H39" i="8"/>
  <c r="U38" i="8"/>
  <c r="R38" i="8"/>
  <c r="O38" i="8"/>
  <c r="N38" i="8"/>
  <c r="L38" i="8"/>
  <c r="U37" i="8"/>
  <c r="R37" i="8"/>
  <c r="M37" i="8"/>
  <c r="L37" i="8" s="1"/>
  <c r="H37" i="8"/>
  <c r="U36" i="8"/>
  <c r="R36" i="8"/>
  <c r="H36" i="8"/>
  <c r="M36" i="8" s="1"/>
  <c r="U35" i="8"/>
  <c r="R35" i="8"/>
  <c r="H35" i="8"/>
  <c r="M35" i="8" s="1"/>
  <c r="U34" i="8"/>
  <c r="R34" i="8"/>
  <c r="N34" i="8"/>
  <c r="M34" i="8"/>
  <c r="L34" i="8" s="1"/>
  <c r="U33" i="8"/>
  <c r="R33" i="8"/>
  <c r="H33" i="8"/>
  <c r="H58" i="8" s="1"/>
  <c r="H79" i="8" s="1"/>
  <c r="U28" i="8"/>
  <c r="R28" i="8"/>
  <c r="O28" i="8"/>
  <c r="N28" i="8"/>
  <c r="U26" i="8"/>
  <c r="R26" i="8"/>
  <c r="H26" i="8"/>
  <c r="M26" i="8" s="1"/>
  <c r="U23" i="8"/>
  <c r="R23" i="8"/>
  <c r="N23" i="8"/>
  <c r="M23" i="8"/>
  <c r="L23" i="8" s="1"/>
  <c r="H23" i="8"/>
  <c r="R20" i="8"/>
  <c r="H20" i="8"/>
  <c r="M20" i="8" s="1"/>
  <c r="U19" i="8"/>
  <c r="R19" i="8"/>
  <c r="H19" i="8"/>
  <c r="M19" i="8" s="1"/>
  <c r="U18" i="8"/>
  <c r="R18" i="8"/>
  <c r="N18" i="8"/>
  <c r="M18" i="8"/>
  <c r="L18" i="8" s="1"/>
  <c r="H18" i="8"/>
  <c r="U15" i="8"/>
  <c r="R15" i="8"/>
  <c r="M15" i="8"/>
  <c r="L15" i="8" s="1"/>
  <c r="H15" i="8"/>
  <c r="U14" i="8"/>
  <c r="R14" i="8"/>
  <c r="H14" i="8"/>
  <c r="M14" i="8" s="1"/>
  <c r="U13" i="8"/>
  <c r="R13" i="8"/>
  <c r="H13" i="8"/>
  <c r="M13" i="8" s="1"/>
  <c r="U12" i="8"/>
  <c r="R12" i="8"/>
  <c r="N12" i="8"/>
  <c r="M12" i="8"/>
  <c r="L12" i="8" s="1"/>
  <c r="H12" i="8"/>
  <c r="U11" i="8"/>
  <c r="R11" i="8"/>
  <c r="M11" i="8"/>
  <c r="L11" i="8" s="1"/>
  <c r="H11" i="8"/>
  <c r="T4" i="8"/>
  <c r="AI1" i="8"/>
  <c r="AH1" i="8"/>
  <c r="AF1" i="8"/>
  <c r="AE1" i="8"/>
  <c r="N45" i="8" l="1"/>
  <c r="L45" i="8"/>
  <c r="O45" i="8"/>
  <c r="N26" i="8"/>
  <c r="L26" i="8"/>
  <c r="O26" i="8"/>
  <c r="N41" i="8"/>
  <c r="L41" i="8"/>
  <c r="O41" i="8"/>
  <c r="N50" i="8"/>
  <c r="L50" i="8"/>
  <c r="O50" i="8"/>
  <c r="O20" i="8"/>
  <c r="N20" i="8"/>
  <c r="L20" i="8"/>
  <c r="O36" i="8"/>
  <c r="N36" i="8"/>
  <c r="L36" i="8"/>
  <c r="L40" i="8"/>
  <c r="O40" i="8"/>
  <c r="N40" i="8"/>
  <c r="N53" i="8"/>
  <c r="L53" i="8"/>
  <c r="O53" i="8"/>
  <c r="N55" i="8"/>
  <c r="L55" i="8"/>
  <c r="O55" i="8"/>
  <c r="N71" i="8"/>
  <c r="L71" i="8"/>
  <c r="O71" i="8"/>
  <c r="L74" i="8"/>
  <c r="O74" i="8"/>
  <c r="N74" i="8"/>
  <c r="N13" i="8"/>
  <c r="L13" i="8"/>
  <c r="O13" i="8"/>
  <c r="L44" i="8"/>
  <c r="O44" i="8"/>
  <c r="N44" i="8"/>
  <c r="N75" i="8"/>
  <c r="L75" i="8"/>
  <c r="O14" i="8"/>
  <c r="N14" i="8"/>
  <c r="L14" i="8"/>
  <c r="N19" i="8"/>
  <c r="L19" i="8"/>
  <c r="O19" i="8"/>
  <c r="N35" i="8"/>
  <c r="L35" i="8"/>
  <c r="O35" i="8"/>
  <c r="L52" i="8"/>
  <c r="O52" i="8"/>
  <c r="N52" i="8"/>
  <c r="L70" i="8"/>
  <c r="O70" i="8"/>
  <c r="N70" i="8"/>
  <c r="N11" i="8"/>
  <c r="O12" i="8"/>
  <c r="N15" i="8"/>
  <c r="O18" i="8"/>
  <c r="O23" i="8"/>
  <c r="M33" i="8"/>
  <c r="O34" i="8"/>
  <c r="N37" i="8"/>
  <c r="N39" i="8"/>
  <c r="N43" i="8"/>
  <c r="N46" i="8"/>
  <c r="L47" i="8"/>
  <c r="N51" i="8"/>
  <c r="N56" i="8"/>
  <c r="N69" i="8"/>
  <c r="N73" i="8"/>
  <c r="O11" i="8"/>
  <c r="O15" i="8"/>
  <c r="O37" i="8"/>
  <c r="O39" i="8"/>
  <c r="N42" i="8"/>
  <c r="O43" i="8"/>
  <c r="O46" i="8"/>
  <c r="N48" i="8"/>
  <c r="O51" i="8"/>
  <c r="O56" i="8"/>
  <c r="N68" i="8"/>
  <c r="O69" i="8"/>
  <c r="N72" i="8"/>
  <c r="O73" i="8"/>
  <c r="G22" i="4"/>
  <c r="O33" i="8" l="1"/>
  <c r="N33" i="8"/>
  <c r="M58" i="8"/>
  <c r="M79" i="8" s="1"/>
  <c r="L33" i="8"/>
  <c r="AH1" i="1"/>
  <c r="O79" i="8" l="1"/>
  <c r="N79" i="8"/>
  <c r="O58" i="8"/>
  <c r="N58" i="8"/>
  <c r="K12" i="3"/>
  <c r="F10" i="4" l="1"/>
  <c r="G5" i="4"/>
  <c r="K14" i="3"/>
  <c r="B3" i="5"/>
  <c r="B2" i="5"/>
  <c r="K28" i="3"/>
  <c r="S1" i="4"/>
  <c r="T1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9" i="4"/>
  <c r="F8" i="4"/>
  <c r="F7" i="4"/>
  <c r="F6" i="4"/>
  <c r="F5" i="4"/>
  <c r="M16" i="3"/>
  <c r="AI1" i="1"/>
  <c r="M152" i="3"/>
  <c r="M151" i="3"/>
  <c r="M150" i="3"/>
  <c r="M149" i="3"/>
  <c r="M148" i="3"/>
  <c r="M147" i="3"/>
  <c r="M146" i="3"/>
  <c r="M145" i="3"/>
  <c r="M144" i="3"/>
  <c r="M143" i="3"/>
  <c r="M142" i="3"/>
  <c r="M141" i="3"/>
  <c r="M140" i="3"/>
  <c r="M139" i="3"/>
  <c r="M138" i="3"/>
  <c r="M137" i="3"/>
  <c r="M136" i="3"/>
  <c r="M135" i="3"/>
  <c r="M134" i="3"/>
  <c r="M133" i="3"/>
  <c r="M132" i="3"/>
  <c r="M131" i="3"/>
  <c r="M130" i="3"/>
  <c r="M129" i="3"/>
  <c r="M128" i="3"/>
  <c r="M127" i="3"/>
  <c r="M126" i="3"/>
  <c r="M125" i="3"/>
  <c r="M124" i="3"/>
  <c r="M123" i="3"/>
  <c r="M122" i="3"/>
  <c r="M121" i="3"/>
  <c r="M120" i="3"/>
  <c r="M119" i="3"/>
  <c r="M118" i="3"/>
  <c r="M117" i="3"/>
  <c r="M116" i="3"/>
  <c r="M115" i="3"/>
  <c r="M114" i="3"/>
  <c r="M113" i="3"/>
  <c r="M112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15" i="3"/>
  <c r="M37" i="3"/>
  <c r="M29" i="3"/>
  <c r="M28" i="3"/>
  <c r="M14" i="3"/>
  <c r="M13" i="3"/>
  <c r="M27" i="3"/>
  <c r="M26" i="3"/>
  <c r="M36" i="3"/>
  <c r="M35" i="3"/>
  <c r="M25" i="3"/>
  <c r="M24" i="3"/>
  <c r="M12" i="3"/>
  <c r="M11" i="3"/>
  <c r="M5" i="3"/>
  <c r="M33" i="3"/>
  <c r="M23" i="3"/>
  <c r="M22" i="3"/>
  <c r="M21" i="3"/>
  <c r="M20" i="3"/>
  <c r="M10" i="3"/>
  <c r="M32" i="3"/>
  <c r="M9" i="3"/>
  <c r="M31" i="3"/>
  <c r="M8" i="3"/>
  <c r="M7" i="3"/>
  <c r="M34" i="3"/>
  <c r="M19" i="3"/>
  <c r="M18" i="3"/>
  <c r="M17" i="3"/>
  <c r="M30" i="3"/>
  <c r="M4" i="3"/>
  <c r="M6" i="3"/>
  <c r="T4" i="1"/>
  <c r="AE1" i="1"/>
  <c r="AF1" i="1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15" i="3"/>
  <c r="K37" i="3"/>
  <c r="K29" i="3"/>
  <c r="K13" i="3"/>
  <c r="K27" i="3"/>
  <c r="K26" i="3"/>
  <c r="K36" i="3"/>
  <c r="K35" i="3"/>
  <c r="K25" i="3"/>
  <c r="K24" i="3"/>
  <c r="K11" i="3"/>
  <c r="K5" i="3"/>
  <c r="K33" i="3"/>
  <c r="K23" i="3"/>
  <c r="K22" i="3"/>
  <c r="K21" i="3"/>
  <c r="K20" i="3"/>
  <c r="K10" i="3"/>
  <c r="K32" i="3"/>
  <c r="K9" i="3"/>
  <c r="K31" i="3"/>
  <c r="K8" i="3"/>
  <c r="K7" i="3"/>
  <c r="K34" i="3"/>
  <c r="K19" i="3"/>
  <c r="K18" i="3"/>
  <c r="K17" i="3"/>
  <c r="K30" i="3"/>
  <c r="K16" i="3"/>
  <c r="K4" i="3"/>
  <c r="K6" i="3"/>
</calcChain>
</file>

<file path=xl/sharedStrings.xml><?xml version="1.0" encoding="utf-8"?>
<sst xmlns="http://schemas.openxmlformats.org/spreadsheetml/2006/main" count="1240" uniqueCount="431">
  <si>
    <t>支店区分</t>
    <rPh sb="0" eb="2">
      <t>シテン</t>
    </rPh>
    <rPh sb="2" eb="4">
      <t>クブン</t>
    </rPh>
    <phoneticPr fontId="2"/>
  </si>
  <si>
    <t>社員コード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</si>
  <si>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</si>
  <si>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等級</t>
    <rPh sb="0" eb="2">
      <t>トウキュウ</t>
    </rPh>
    <phoneticPr fontId="2"/>
  </si>
  <si>
    <t>賃金</t>
    <rPh sb="0" eb="2">
      <t>チンギン</t>
    </rPh>
    <phoneticPr fontId="2"/>
  </si>
  <si>
    <t>部門</t>
    <rPh sb="0" eb="2">
      <t>ブモン</t>
    </rPh>
    <phoneticPr fontId="2"/>
  </si>
  <si>
    <t>基本支給額</t>
    <rPh sb="0" eb="2">
      <t>キホン</t>
    </rPh>
    <rPh sb="2" eb="5">
      <t>シキュウガク</t>
    </rPh>
    <phoneticPr fontId="2"/>
  </si>
  <si>
    <t>成績加減率</t>
    <rPh sb="0" eb="2">
      <t>セイセキ</t>
    </rPh>
    <rPh sb="2" eb="4">
      <t>カゲン</t>
    </rPh>
    <rPh sb="4" eb="5">
      <t>リツ</t>
    </rPh>
    <phoneticPr fontId="2"/>
  </si>
  <si>
    <t>成績支給額</t>
    <rPh sb="0" eb="2">
      <t>セイセキ</t>
    </rPh>
    <rPh sb="2" eb="5">
      <t>シキュウガク</t>
    </rPh>
    <phoneticPr fontId="2"/>
  </si>
  <si>
    <t>出勤係数</t>
    <rPh sb="0" eb="2">
      <t>シュッキン</t>
    </rPh>
    <rPh sb="2" eb="4">
      <t>ケイスウ</t>
    </rPh>
    <phoneticPr fontId="2"/>
  </si>
  <si>
    <t>出勤減算額</t>
    <rPh sb="0" eb="2">
      <t>シュッキン</t>
    </rPh>
    <rPh sb="2" eb="4">
      <t>ゲンサン</t>
    </rPh>
    <rPh sb="4" eb="5">
      <t>ガク</t>
    </rPh>
    <phoneticPr fontId="2"/>
  </si>
  <si>
    <t>賞与支給額</t>
    <rPh sb="0" eb="2">
      <t>ショウヨ</t>
    </rPh>
    <rPh sb="2" eb="5">
      <t>シキュウガク</t>
    </rPh>
    <phoneticPr fontId="2"/>
  </si>
  <si>
    <t>大阪</t>
    <rPh sb="0" eb="2">
      <t>オオサカ</t>
    </rPh>
    <phoneticPr fontId="2"/>
  </si>
  <si>
    <t>東京</t>
    <rPh sb="0" eb="2">
      <t>トウキョウ</t>
    </rPh>
    <phoneticPr fontId="2"/>
  </si>
  <si>
    <t>本部</t>
    <rPh sb="0" eb="2">
      <t>ホンブ</t>
    </rPh>
    <phoneticPr fontId="2"/>
  </si>
  <si>
    <t>関東</t>
    <rPh sb="0" eb="2">
      <t>カントウ</t>
    </rPh>
    <phoneticPr fontId="2"/>
  </si>
  <si>
    <t>東海</t>
    <rPh sb="0" eb="2">
      <t>トウカイ</t>
    </rPh>
    <phoneticPr fontId="2"/>
  </si>
  <si>
    <t>管理</t>
    <rPh sb="0" eb="2">
      <t>カンリ</t>
    </rPh>
    <phoneticPr fontId="2"/>
  </si>
  <si>
    <t>新入社員</t>
    <rPh sb="0" eb="2">
      <t>シンニュウ</t>
    </rPh>
    <rPh sb="2" eb="4">
      <t>シャイン</t>
    </rPh>
    <phoneticPr fontId="2"/>
  </si>
  <si>
    <t>パート</t>
    <phoneticPr fontId="2"/>
  </si>
  <si>
    <t>嘱託</t>
    <rPh sb="0" eb="2">
      <t>ショクタク</t>
    </rPh>
    <phoneticPr fontId="2"/>
  </si>
  <si>
    <t>区分</t>
    <rPh sb="0" eb="2">
      <t>クブン</t>
    </rPh>
    <phoneticPr fontId="2"/>
  </si>
  <si>
    <t>社員ｺｰﾄﾞ</t>
    <rPh sb="0" eb="2">
      <t>シャイン</t>
    </rPh>
    <phoneticPr fontId="2"/>
  </si>
  <si>
    <t>種</t>
    <rPh sb="0" eb="1">
      <t>シュ</t>
    </rPh>
    <phoneticPr fontId="2"/>
  </si>
  <si>
    <t>給与1</t>
    <rPh sb="0" eb="2">
      <t>キュウヨ</t>
    </rPh>
    <phoneticPr fontId="2"/>
  </si>
  <si>
    <t>給与2</t>
    <rPh sb="0" eb="2">
      <t>キュウヨ</t>
    </rPh>
    <phoneticPr fontId="2"/>
  </si>
  <si>
    <t>家族手</t>
    <rPh sb="0" eb="2">
      <t>カゾク</t>
    </rPh>
    <rPh sb="2" eb="3">
      <t>テ</t>
    </rPh>
    <phoneticPr fontId="2"/>
  </si>
  <si>
    <t>管理手</t>
    <rPh sb="0" eb="2">
      <t>カンリ</t>
    </rPh>
    <rPh sb="2" eb="3">
      <t>テ</t>
    </rPh>
    <phoneticPr fontId="2"/>
  </si>
  <si>
    <t>RH</t>
    <phoneticPr fontId="2"/>
  </si>
  <si>
    <t>RO</t>
    <phoneticPr fontId="2"/>
  </si>
  <si>
    <t>RT</t>
    <phoneticPr fontId="2"/>
  </si>
  <si>
    <t>RX</t>
    <phoneticPr fontId="2"/>
  </si>
  <si>
    <t>KA</t>
    <phoneticPr fontId="2"/>
  </si>
  <si>
    <t>TA</t>
    <phoneticPr fontId="2"/>
  </si>
  <si>
    <t>役員</t>
    <rPh sb="0" eb="2">
      <t>ヤクイン</t>
    </rPh>
    <phoneticPr fontId="2"/>
  </si>
  <si>
    <t>01</t>
  </si>
  <si>
    <t>01</t>
    <phoneticPr fontId="2"/>
  </si>
  <si>
    <t>02</t>
    <phoneticPr fontId="2"/>
  </si>
  <si>
    <t>03</t>
    <phoneticPr fontId="2"/>
  </si>
  <si>
    <t>営業部門</t>
    <rPh sb="0" eb="2">
      <t>エイギョウ</t>
    </rPh>
    <rPh sb="2" eb="4">
      <t>ブモン</t>
    </rPh>
    <phoneticPr fontId="2"/>
  </si>
  <si>
    <t>工事部門</t>
    <rPh sb="0" eb="2">
      <t>コウジ</t>
    </rPh>
    <rPh sb="2" eb="4">
      <t>ブモン</t>
    </rPh>
    <phoneticPr fontId="2"/>
  </si>
  <si>
    <t>システム部門</t>
    <rPh sb="4" eb="6">
      <t>ブモン</t>
    </rPh>
    <phoneticPr fontId="2"/>
  </si>
  <si>
    <t>04</t>
    <phoneticPr fontId="2"/>
  </si>
  <si>
    <t>管理部門</t>
    <rPh sb="0" eb="2">
      <t>カンリ</t>
    </rPh>
    <rPh sb="2" eb="4">
      <t>ブモン</t>
    </rPh>
    <phoneticPr fontId="2"/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</si>
  <si>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</si>
  <si>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</si>
  <si>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</si>
  <si>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</si>
  <si>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</si>
  <si>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</si>
  <si>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</si>
  <si>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</si>
  <si>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</si>
  <si>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</si>
  <si>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</si>
  <si>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</si>
  <si>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</si>
  <si>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</si>
  <si>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</si>
  <si>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</si>
  <si>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</si>
  <si>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</si>
  <si>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</si>
  <si>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</si>
  <si>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</si>
  <si>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</si>
  <si>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</si>
  <si>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</si>
  <si>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</si>
  <si>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</si>
  <si>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A</t>
  </si>
  <si>
    <t>01</t>
    <phoneticPr fontId="2"/>
  </si>
  <si>
    <t>02</t>
    <phoneticPr fontId="2"/>
  </si>
  <si>
    <t>03</t>
    <phoneticPr fontId="2"/>
  </si>
  <si>
    <t>04</t>
    <phoneticPr fontId="2"/>
  </si>
  <si>
    <t>05</t>
    <phoneticPr fontId="2"/>
  </si>
  <si>
    <t>06</t>
    <phoneticPr fontId="2"/>
  </si>
  <si>
    <t>RH</t>
    <phoneticPr fontId="2"/>
  </si>
  <si>
    <t>その他</t>
    <rPh sb="2" eb="3">
      <t>タ</t>
    </rPh>
    <phoneticPr fontId="2"/>
  </si>
  <si>
    <t>1</t>
    <phoneticPr fontId="2"/>
  </si>
  <si>
    <t>2</t>
    <phoneticPr fontId="2"/>
  </si>
  <si>
    <t>3</t>
    <phoneticPr fontId="2"/>
  </si>
  <si>
    <t>4</t>
    <phoneticPr fontId="2"/>
  </si>
  <si>
    <t>5</t>
    <phoneticPr fontId="2"/>
  </si>
  <si>
    <t>6</t>
    <phoneticPr fontId="2"/>
  </si>
  <si>
    <t>1.マスタを読込み賞与用の区分の保守（新入社員、異動等）</t>
    <rPh sb="6" eb="8">
      <t>ヨミコミ</t>
    </rPh>
    <rPh sb="9" eb="11">
      <t>ショウヨ</t>
    </rPh>
    <rPh sb="11" eb="12">
      <t>ヨウ</t>
    </rPh>
    <rPh sb="13" eb="15">
      <t>クブン</t>
    </rPh>
    <rPh sb="16" eb="18">
      <t>ホシュ</t>
    </rPh>
    <rPh sb="19" eb="21">
      <t>シンニュウ</t>
    </rPh>
    <rPh sb="21" eb="23">
      <t>シャイン</t>
    </rPh>
    <rPh sb="24" eb="26">
      <t>イドウ</t>
    </rPh>
    <rPh sb="26" eb="27">
      <t>トウ</t>
    </rPh>
    <phoneticPr fontId="2"/>
  </si>
  <si>
    <t>2.今回処理分のデータ作成（１回だけ）</t>
    <rPh sb="2" eb="4">
      <t>コンカイ</t>
    </rPh>
    <rPh sb="4" eb="6">
      <t>ショリ</t>
    </rPh>
    <rPh sb="6" eb="7">
      <t>ブン</t>
    </rPh>
    <rPh sb="11" eb="13">
      <t>サクセイ</t>
    </rPh>
    <rPh sb="15" eb="16">
      <t>カイ</t>
    </rPh>
    <phoneticPr fontId="2"/>
  </si>
  <si>
    <t>3.データ保守</t>
    <rPh sb="5" eb="7">
      <t>ホシュ</t>
    </rPh>
    <phoneticPr fontId="2"/>
  </si>
  <si>
    <t>賞与システム</t>
    <rPh sb="0" eb="2">
      <t>ショウヨ</t>
    </rPh>
    <phoneticPr fontId="2"/>
  </si>
  <si>
    <t>◎今回支給率</t>
    <rPh sb="1" eb="3">
      <t>コンカイ</t>
    </rPh>
    <rPh sb="3" eb="5">
      <t>シキュウ</t>
    </rPh>
    <rPh sb="5" eb="6">
      <t>リツ</t>
    </rPh>
    <phoneticPr fontId="2"/>
  </si>
  <si>
    <t>賞与区分</t>
    <rPh sb="0" eb="2">
      <t>ショウヨ</t>
    </rPh>
    <rPh sb="2" eb="4">
      <t>クブン</t>
    </rPh>
    <phoneticPr fontId="2"/>
  </si>
  <si>
    <t>賞与区分名</t>
    <rPh sb="0" eb="2">
      <t>ショウヨ</t>
    </rPh>
    <rPh sb="2" eb="4">
      <t>クブン</t>
    </rPh>
    <rPh sb="4" eb="5">
      <t>メイ</t>
    </rPh>
    <phoneticPr fontId="2"/>
  </si>
  <si>
    <t>部署名</t>
    <rPh sb="0" eb="2">
      <t>ブショ</t>
    </rPh>
    <rPh sb="2" eb="3">
      <t>メイ</t>
    </rPh>
    <phoneticPr fontId="2"/>
  </si>
  <si>
    <t>部署区分</t>
    <rPh sb="0" eb="2">
      <t>ブショ</t>
    </rPh>
    <rPh sb="2" eb="4">
      <t>クブン</t>
    </rPh>
    <phoneticPr fontId="2"/>
  </si>
  <si>
    <t>部門区分</t>
    <rPh sb="0" eb="2">
      <t>ブモン</t>
    </rPh>
    <rPh sb="2" eb="4">
      <t>クブン</t>
    </rPh>
    <phoneticPr fontId="2"/>
  </si>
  <si>
    <t>年</t>
    <rPh sb="0" eb="1">
      <t>ネン</t>
    </rPh>
    <phoneticPr fontId="2"/>
  </si>
  <si>
    <t>月</t>
    <rPh sb="0" eb="1">
      <t>ガツ</t>
    </rPh>
    <phoneticPr fontId="2"/>
  </si>
  <si>
    <t>賞　与　計　算　表</t>
    <rPh sb="0" eb="1">
      <t>ショウ</t>
    </rPh>
    <rPh sb="2" eb="3">
      <t>アタエ</t>
    </rPh>
    <rPh sb="4" eb="5">
      <t>ケイ</t>
    </rPh>
    <rPh sb="6" eb="7">
      <t>ザン</t>
    </rPh>
    <rPh sb="8" eb="9">
      <t>ヒョウ</t>
    </rPh>
    <phoneticPr fontId="2"/>
  </si>
  <si>
    <t>4.データ登録</t>
    <rPh sb="5" eb="7">
      <t>トウロク</t>
    </rPh>
    <phoneticPr fontId="2"/>
  </si>
  <si>
    <t>支給率</t>
    <rPh sb="0" eb="2">
      <t>シキュウ</t>
    </rPh>
    <rPh sb="2" eb="3">
      <t>リツ</t>
    </rPh>
    <phoneticPr fontId="2"/>
  </si>
  <si>
    <t>前年賞与</t>
    <rPh sb="0" eb="2">
      <t>ゼンネン</t>
    </rPh>
    <rPh sb="2" eb="4">
      <t>ショウヨ</t>
    </rPh>
    <phoneticPr fontId="2"/>
  </si>
  <si>
    <t>対象賃金</t>
    <rPh sb="0" eb="2">
      <t>タイショウ</t>
    </rPh>
    <rPh sb="2" eb="4">
      <t>チンギン</t>
    </rPh>
    <phoneticPr fontId="2"/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</si>
  <si>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</si>
  <si>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</si>
  <si>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</si>
  <si>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</si>
  <si>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</si>
  <si>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</si>
  <si>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</si>
  <si>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</si>
  <si>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</si>
  <si>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</si>
  <si>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</si>
  <si>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</si>
  <si>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</si>
  <si>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</si>
  <si>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</si>
  <si>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</si>
  <si>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</si>
  <si>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</si>
  <si>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</si>
  <si>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案1</t>
    <rPh sb="0" eb="1">
      <t>アン</t>
    </rPh>
    <phoneticPr fontId="2"/>
  </si>
  <si>
    <t>04</t>
  </si>
  <si>
    <t>01</t>
    <phoneticPr fontId="2"/>
  </si>
  <si>
    <t>RO</t>
    <phoneticPr fontId="2"/>
  </si>
  <si>
    <t>02</t>
    <phoneticPr fontId="2"/>
  </si>
  <si>
    <t>RT</t>
    <phoneticPr fontId="2"/>
  </si>
  <si>
    <t>03</t>
    <phoneticPr fontId="2"/>
  </si>
  <si>
    <t>04</t>
    <phoneticPr fontId="2"/>
  </si>
  <si>
    <t>RX</t>
    <phoneticPr fontId="2"/>
  </si>
  <si>
    <t>05</t>
    <phoneticPr fontId="2"/>
  </si>
  <si>
    <t>KA</t>
    <phoneticPr fontId="2"/>
  </si>
  <si>
    <t>06</t>
    <phoneticPr fontId="2"/>
  </si>
  <si>
    <t>TA</t>
    <phoneticPr fontId="2"/>
  </si>
  <si>
    <t>賞与</t>
    <rPh sb="0" eb="2">
      <t>ショウヨ</t>
    </rPh>
    <phoneticPr fontId="2"/>
  </si>
  <si>
    <t>率</t>
    <rPh sb="0" eb="1">
      <t>リツ</t>
    </rPh>
    <phoneticPr fontId="2"/>
  </si>
  <si>
    <t>前回差</t>
    <rPh sb="0" eb="2">
      <t>ゼンカイ</t>
    </rPh>
    <rPh sb="2" eb="3">
      <t>サ</t>
    </rPh>
    <phoneticPr fontId="2"/>
  </si>
  <si>
    <t>前年差</t>
    <rPh sb="0" eb="2">
      <t>ゼンネン</t>
    </rPh>
    <rPh sb="2" eb="3">
      <t>サ</t>
    </rPh>
    <phoneticPr fontId="2"/>
  </si>
  <si>
    <t>工事</t>
    <rPh sb="0" eb="2">
      <t>コウジ</t>
    </rPh>
    <phoneticPr fontId="2"/>
  </si>
  <si>
    <t>システム</t>
    <phoneticPr fontId="2"/>
  </si>
  <si>
    <t>案2</t>
    <rPh sb="0" eb="1">
      <t>アン</t>
    </rPh>
    <phoneticPr fontId="2"/>
  </si>
  <si>
    <t>営業</t>
    <rPh sb="0" eb="2">
      <t>エイギョウ</t>
    </rPh>
    <phoneticPr fontId="2"/>
  </si>
  <si>
    <t>案3</t>
    <rPh sb="0" eb="1">
      <t>アン</t>
    </rPh>
    <phoneticPr fontId="2"/>
  </si>
  <si>
    <t>名前</t>
    <rPh sb="0" eb="2">
      <t>ナマエ</t>
    </rPh>
    <phoneticPr fontId="2"/>
  </si>
  <si>
    <t>支給率</t>
    <rPh sb="0" eb="3">
      <t>シキュウリツ</t>
    </rPh>
    <phoneticPr fontId="2"/>
  </si>
  <si>
    <t xml:space="preserve">  </t>
    <phoneticPr fontId="2"/>
  </si>
  <si>
    <t>*実際の支給額は、上記金額から社会保険料</t>
    <rPh sb="1" eb="3">
      <t>ジッサイ</t>
    </rPh>
    <rPh sb="4" eb="7">
      <t>シキュウガク</t>
    </rPh>
    <rPh sb="9" eb="11">
      <t>ジョウキ</t>
    </rPh>
    <rPh sb="11" eb="13">
      <t>キンガク</t>
    </rPh>
    <rPh sb="15" eb="17">
      <t>シャカイ</t>
    </rPh>
    <rPh sb="17" eb="20">
      <t>ホケンリョウ</t>
    </rPh>
    <phoneticPr fontId="2"/>
  </si>
  <si>
    <t>及び所得税が控除されます。</t>
    <rPh sb="0" eb="1">
      <t>オヨ</t>
    </rPh>
    <rPh sb="2" eb="5">
      <t>ショトクゼイ</t>
    </rPh>
    <rPh sb="6" eb="8">
      <t>コウジョ</t>
    </rPh>
    <phoneticPr fontId="2"/>
  </si>
  <si>
    <t>基本支給率</t>
    <rPh sb="0" eb="2">
      <t>キホン</t>
    </rPh>
    <rPh sb="4" eb="5">
      <t>リツ</t>
    </rPh>
    <phoneticPr fontId="2"/>
  </si>
  <si>
    <t>（注意）この資料は担当者に渡さずに、説明後</t>
    <rPh sb="1" eb="3">
      <t>チュウイ</t>
    </rPh>
    <rPh sb="6" eb="8">
      <t>シリョウ</t>
    </rPh>
    <rPh sb="9" eb="12">
      <t>タントウシャ</t>
    </rPh>
    <rPh sb="13" eb="14">
      <t>ワタ</t>
    </rPh>
    <rPh sb="18" eb="20">
      <t>セツメイ</t>
    </rPh>
    <rPh sb="20" eb="21">
      <t>ゴ</t>
    </rPh>
    <phoneticPr fontId="2"/>
  </si>
  <si>
    <t>返却して下さい。</t>
    <rPh sb="0" eb="2">
      <t>ヘンキャク</t>
    </rPh>
    <rPh sb="4" eb="5">
      <t>クダ</t>
    </rPh>
    <phoneticPr fontId="2"/>
  </si>
  <si>
    <t>*UP</t>
    <phoneticPr fontId="2"/>
  </si>
  <si>
    <t>前回賞与</t>
    <rPh sb="0" eb="2">
      <t>ゼンカイ</t>
    </rPh>
    <rPh sb="2" eb="4">
      <t>ショウヨ</t>
    </rPh>
    <phoneticPr fontId="2"/>
  </si>
  <si>
    <t>前回率</t>
    <rPh sb="0" eb="2">
      <t>ゼンカイ</t>
    </rPh>
    <rPh sb="2" eb="3">
      <t>リツ</t>
    </rPh>
    <phoneticPr fontId="2"/>
  </si>
  <si>
    <t>正社員・・・基本給（本給・加給）、管理職手当、家族手当の合計</t>
    <rPh sb="0" eb="3">
      <t>セイシャイン</t>
    </rPh>
    <rPh sb="6" eb="9">
      <t>キホンキュウ</t>
    </rPh>
    <rPh sb="10" eb="12">
      <t>ホンキュウ</t>
    </rPh>
    <rPh sb="13" eb="15">
      <t>カキュウ</t>
    </rPh>
    <rPh sb="17" eb="19">
      <t>カンリ</t>
    </rPh>
    <rPh sb="19" eb="20">
      <t>ショク</t>
    </rPh>
    <rPh sb="20" eb="22">
      <t>テアテ</t>
    </rPh>
    <rPh sb="23" eb="25">
      <t>カゾク</t>
    </rPh>
    <rPh sb="25" eb="27">
      <t>テアテ</t>
    </rPh>
    <rPh sb="28" eb="30">
      <t>ゴウケイ</t>
    </rPh>
    <phoneticPr fontId="19"/>
  </si>
  <si>
    <t>◎支給額計算根拠</t>
    <rPh sb="1" eb="3">
      <t>シキュウ</t>
    </rPh>
    <rPh sb="3" eb="4">
      <t>ガク</t>
    </rPh>
    <rPh sb="4" eb="6">
      <t>ケイサン</t>
    </rPh>
    <rPh sb="6" eb="8">
      <t>コンキョ</t>
    </rPh>
    <phoneticPr fontId="19"/>
  </si>
  <si>
    <t>パート社員・・・時給×7.5時間×20日×0.2</t>
    <rPh sb="3" eb="5">
      <t>シャイン</t>
    </rPh>
    <rPh sb="8" eb="10">
      <t>ジキュウ</t>
    </rPh>
    <rPh sb="14" eb="16">
      <t>ジカン</t>
    </rPh>
    <rPh sb="19" eb="20">
      <t>ニチ</t>
    </rPh>
    <phoneticPr fontId="19"/>
  </si>
  <si>
    <t>（上記以外の業績手当、赴任手当、大都市勤務手当等は含みません。）</t>
    <rPh sb="1" eb="3">
      <t>ジョウキ</t>
    </rPh>
    <rPh sb="3" eb="5">
      <t>イガイ</t>
    </rPh>
    <rPh sb="6" eb="8">
      <t>ギョウセキ</t>
    </rPh>
    <rPh sb="8" eb="10">
      <t>テアテ</t>
    </rPh>
    <rPh sb="11" eb="13">
      <t>フニン</t>
    </rPh>
    <rPh sb="13" eb="15">
      <t>テアテ</t>
    </rPh>
    <rPh sb="16" eb="19">
      <t>ダイトシ</t>
    </rPh>
    <rPh sb="19" eb="21">
      <t>キンム</t>
    </rPh>
    <rPh sb="21" eb="23">
      <t>テアテ</t>
    </rPh>
    <rPh sb="23" eb="24">
      <t>トウ</t>
    </rPh>
    <rPh sb="25" eb="26">
      <t>フク</t>
    </rPh>
    <phoneticPr fontId="19"/>
  </si>
  <si>
    <t>前回賃金</t>
    <rPh sb="0" eb="2">
      <t>ゼンカイ</t>
    </rPh>
    <rPh sb="2" eb="4">
      <t>チンギン</t>
    </rPh>
    <phoneticPr fontId="2"/>
  </si>
  <si>
    <t>前回支給率</t>
    <rPh sb="0" eb="2">
      <t>ゼンカイ</t>
    </rPh>
    <rPh sb="2" eb="5">
      <t>シキュウリツ</t>
    </rPh>
    <phoneticPr fontId="2"/>
  </si>
  <si>
    <t>4</t>
  </si>
  <si>
    <t>3</t>
  </si>
  <si>
    <t>2</t>
  </si>
  <si>
    <t>P</t>
  </si>
  <si>
    <t>*DOWN</t>
    <phoneticPr fontId="2"/>
  </si>
  <si>
    <t>*前回と同じ</t>
    <rPh sb="1" eb="3">
      <t>ゼンカイ</t>
    </rPh>
    <rPh sb="4" eb="5">
      <t>オナ</t>
    </rPh>
    <phoneticPr fontId="2"/>
  </si>
  <si>
    <t>貴殿の職務の功労を表し、第68期決算賞与を下記の通り支給することを</t>
    <phoneticPr fontId="2"/>
  </si>
  <si>
    <t>決定しましたので、通知致します。</t>
    <phoneticPr fontId="2"/>
  </si>
  <si>
    <t>賞与額</t>
    <rPh sb="0" eb="2">
      <t>ショウヨ</t>
    </rPh>
    <rPh sb="2" eb="3">
      <t>ガク</t>
    </rPh>
    <phoneticPr fontId="2"/>
  </si>
  <si>
    <t>大阪府東大阪市金物町３－７</t>
    <rPh sb="0" eb="3">
      <t>オオサカフ</t>
    </rPh>
    <rPh sb="3" eb="7">
      <t>ヒガシオオサカシ</t>
    </rPh>
    <rPh sb="7" eb="10">
      <t>カナモノチョウ</t>
    </rPh>
    <phoneticPr fontId="2"/>
  </si>
  <si>
    <t>鳥居金属興業株式会社</t>
    <rPh sb="0" eb="6">
      <t>トリイキンゾクコウギョウ</t>
    </rPh>
    <rPh sb="6" eb="10">
      <t>カブシキガイシャ</t>
    </rPh>
    <phoneticPr fontId="2"/>
  </si>
  <si>
    <t>代表取締役社長　鳥居新一郎</t>
    <rPh sb="0" eb="2">
      <t>ダイヒョウ</t>
    </rPh>
    <rPh sb="2" eb="4">
      <t>トリシマリ</t>
    </rPh>
    <rPh sb="4" eb="5">
      <t>ヤク</t>
    </rPh>
    <rPh sb="5" eb="7">
      <t>シャチョウ</t>
    </rPh>
    <rPh sb="8" eb="13">
      <t>トリイシンイチロウ</t>
    </rPh>
    <phoneticPr fontId="2"/>
  </si>
  <si>
    <t>*上記金額から社会保険料及び所得税が控除されます。</t>
    <rPh sb="1" eb="3">
      <t>ジョウキ</t>
    </rPh>
    <rPh sb="3" eb="5">
      <t>キンガク</t>
    </rPh>
    <rPh sb="7" eb="9">
      <t>シャカイ</t>
    </rPh>
    <rPh sb="9" eb="12">
      <t>ホケンリョウ</t>
    </rPh>
    <phoneticPr fontId="2"/>
  </si>
  <si>
    <t>賞与支給通知書</t>
    <rPh sb="0" eb="2">
      <t>ショウヨ</t>
    </rPh>
    <rPh sb="2" eb="4">
      <t>シキュウ</t>
    </rPh>
    <rPh sb="4" eb="7">
      <t>ツウチショ</t>
    </rPh>
    <phoneticPr fontId="2"/>
  </si>
  <si>
    <t>支給日</t>
    <rPh sb="0" eb="3">
      <t>シキュウビ</t>
    </rPh>
    <phoneticPr fontId="2"/>
  </si>
  <si>
    <t>本日通知を受け、支給額を確認しました</t>
  </si>
  <si>
    <t>住所：</t>
    <rPh sb="0" eb="2">
      <t>ジュウショ</t>
    </rPh>
    <phoneticPr fontId="2"/>
  </si>
  <si>
    <t>氏名：</t>
    <rPh sb="0" eb="2">
      <t>シメイ</t>
    </rPh>
    <phoneticPr fontId="2"/>
  </si>
  <si>
    <t>印</t>
    <rPh sb="0" eb="1">
      <t>イン</t>
    </rPh>
    <phoneticPr fontId="2"/>
  </si>
  <si>
    <t>平成　　　年　　　月　　　日</t>
    <rPh sb="0" eb="2">
      <t>ヘイセイ</t>
    </rPh>
    <rPh sb="5" eb="6">
      <t>ネン</t>
    </rPh>
    <rPh sb="9" eb="10">
      <t>ツキ</t>
    </rPh>
    <rPh sb="13" eb="14">
      <t>ニチ</t>
    </rPh>
    <phoneticPr fontId="2"/>
  </si>
  <si>
    <t>村上　隆嗣  殿</t>
    <phoneticPr fontId="2"/>
  </si>
  <si>
    <t>Z</t>
  </si>
  <si>
    <t>（営業部門）</t>
  </si>
  <si>
    <t>/</t>
  </si>
  <si>
    <t>◎営業部門合計</t>
  </si>
  <si>
    <t>（管理部門）</t>
  </si>
  <si>
    <t>（一般社員）</t>
  </si>
  <si>
    <t>出勤加減額</t>
    <rPh sb="0" eb="2">
      <t>シュッキン</t>
    </rPh>
    <rPh sb="2" eb="4">
      <t>カゲン</t>
    </rPh>
    <rPh sb="4" eb="5">
      <t>ガク</t>
    </rPh>
    <phoneticPr fontId="2"/>
  </si>
  <si>
    <t>Ⅱ</t>
    <phoneticPr fontId="2"/>
  </si>
  <si>
    <t>今回(冬季）</t>
    <phoneticPr fontId="2"/>
  </si>
  <si>
    <t>前回(夏季）</t>
    <phoneticPr fontId="2"/>
  </si>
  <si>
    <t>前年(冬季）</t>
    <phoneticPr fontId="2"/>
  </si>
  <si>
    <t>RH</t>
  </si>
  <si>
    <t>00472</t>
  </si>
  <si>
    <t>高澤　徹</t>
  </si>
  <si>
    <t>00534</t>
  </si>
  <si>
    <t>下田　康夫</t>
  </si>
  <si>
    <t>00519</t>
  </si>
  <si>
    <t>飯田　優子</t>
  </si>
  <si>
    <t>00608</t>
  </si>
  <si>
    <t>野田　祐助</t>
  </si>
  <si>
    <t>00622</t>
  </si>
  <si>
    <t>井上　千尋</t>
  </si>
  <si>
    <t>00675</t>
  </si>
  <si>
    <t>長谷　宗幸</t>
  </si>
  <si>
    <t>00713</t>
  </si>
  <si>
    <t>山崎　美樹</t>
  </si>
  <si>
    <t>00682</t>
  </si>
  <si>
    <t>村上　隆嗣</t>
  </si>
  <si>
    <t>00693</t>
  </si>
  <si>
    <t>大西　秀継</t>
  </si>
  <si>
    <t>Ⅳ</t>
  </si>
  <si>
    <t>Ⅰ</t>
  </si>
  <si>
    <t>Ⅱ</t>
  </si>
  <si>
    <t>Ⅲ</t>
  </si>
  <si>
    <t>◎ 総合計</t>
  </si>
  <si>
    <t>基本(0.2)</t>
  </si>
  <si>
    <t>（パート社員）</t>
  </si>
  <si>
    <t>◎社員分合計</t>
  </si>
  <si>
    <t>◎パート社員分合計</t>
  </si>
  <si>
    <t>令和3年夏季</t>
    <phoneticPr fontId="2"/>
  </si>
  <si>
    <t>基本(1.7)</t>
  </si>
  <si>
    <t>TK</t>
  </si>
  <si>
    <t>東京</t>
  </si>
  <si>
    <t>SG</t>
  </si>
  <si>
    <t>南関東</t>
  </si>
  <si>
    <t>SD</t>
  </si>
  <si>
    <t>仙台</t>
  </si>
  <si>
    <t>AK</t>
  </si>
  <si>
    <t>鳥居金属興業株式会社 （東京）</t>
    <phoneticPr fontId="2"/>
  </si>
  <si>
    <t>（東京営業）</t>
  </si>
  <si>
    <t>00567</t>
  </si>
  <si>
    <t>柴田　真人</t>
  </si>
  <si>
    <t>Ⅴ</t>
  </si>
  <si>
    <t>東京営業</t>
  </si>
  <si>
    <t>00527</t>
  </si>
  <si>
    <t>斎藤　邦雄</t>
  </si>
  <si>
    <t>00543</t>
  </si>
  <si>
    <t>中西　俊介</t>
  </si>
  <si>
    <t>00642</t>
  </si>
  <si>
    <t>岩地　亮平</t>
  </si>
  <si>
    <t>00709</t>
  </si>
  <si>
    <t>水谷　達</t>
  </si>
  <si>
    <t>（南関東営業）</t>
  </si>
  <si>
    <t>00691</t>
  </si>
  <si>
    <t>畑山　慎哉</t>
  </si>
  <si>
    <t>南関東営業</t>
  </si>
  <si>
    <t>00705</t>
  </si>
  <si>
    <t>出口　俊也</t>
  </si>
  <si>
    <t>00735</t>
  </si>
  <si>
    <t>坂入  里沙</t>
  </si>
  <si>
    <t>（仙台営業）</t>
  </si>
  <si>
    <t>00581</t>
  </si>
  <si>
    <t>阿部　孝也</t>
  </si>
  <si>
    <t>28</t>
  </si>
  <si>
    <t>仙台営業</t>
  </si>
  <si>
    <t>（北関東営業）</t>
  </si>
  <si>
    <t>00601</t>
  </si>
  <si>
    <t>藤原　良太</t>
  </si>
  <si>
    <t>北関東営業</t>
  </si>
  <si>
    <t>00408</t>
  </si>
  <si>
    <t>金久保　誠</t>
  </si>
  <si>
    <t>東京一般</t>
  </si>
  <si>
    <t>00552</t>
  </si>
  <si>
    <t>市橋　健</t>
  </si>
  <si>
    <t>東京加工課</t>
  </si>
  <si>
    <t>00455</t>
  </si>
  <si>
    <t>染田　明宏</t>
  </si>
  <si>
    <t>00604</t>
  </si>
  <si>
    <t>加藤　翔吾</t>
  </si>
  <si>
    <t>北関東加工課</t>
  </si>
  <si>
    <t>00638</t>
  </si>
  <si>
    <t>中山　志子</t>
  </si>
  <si>
    <t>00644</t>
  </si>
  <si>
    <t>下野　健太郎</t>
  </si>
  <si>
    <t>南関東加工課</t>
  </si>
  <si>
    <t>00648</t>
  </si>
  <si>
    <t>松尾　亮輝</t>
  </si>
  <si>
    <t>00569</t>
  </si>
  <si>
    <t>木村　政信</t>
  </si>
  <si>
    <t>仙台一般</t>
  </si>
  <si>
    <t>00607</t>
  </si>
  <si>
    <t>加藤　直子</t>
  </si>
  <si>
    <t>00649</t>
  </si>
  <si>
    <t>栗原　正祥</t>
  </si>
  <si>
    <t>00683</t>
  </si>
  <si>
    <t>米山　直樹</t>
  </si>
  <si>
    <t>00685</t>
  </si>
  <si>
    <t>増田　佳子</t>
  </si>
  <si>
    <t>00692</t>
  </si>
  <si>
    <t>中村　美咲</t>
  </si>
  <si>
    <t>00707</t>
  </si>
  <si>
    <t>関　なぎさ</t>
  </si>
  <si>
    <t>南関東一般</t>
  </si>
  <si>
    <t>00708</t>
  </si>
  <si>
    <t>大塚　厚輝</t>
  </si>
  <si>
    <t>00711</t>
  </si>
  <si>
    <t>因田　貴美</t>
  </si>
  <si>
    <t>00712</t>
  </si>
  <si>
    <t>平澤　広太郎</t>
  </si>
  <si>
    <t>00716</t>
  </si>
  <si>
    <t>坂上　勇人</t>
  </si>
  <si>
    <t>00724</t>
  </si>
  <si>
    <t>宮澤　綾香</t>
  </si>
  <si>
    <t>00729</t>
  </si>
  <si>
    <t>小野　治</t>
  </si>
  <si>
    <t>仙台加工課</t>
  </si>
  <si>
    <t>00656</t>
  </si>
  <si>
    <t>中村　祐也</t>
  </si>
  <si>
    <t>00687</t>
  </si>
  <si>
    <t>大谷　耕平</t>
  </si>
  <si>
    <t>00703</t>
  </si>
  <si>
    <t>和泉　幸恵</t>
  </si>
  <si>
    <t>（新入社員）</t>
  </si>
  <si>
    <t>00737</t>
  </si>
  <si>
    <t>石川　富士</t>
  </si>
  <si>
    <t xml:space="preserve">     ☆</t>
  </si>
  <si>
    <t>Y</t>
  </si>
  <si>
    <t>00738</t>
  </si>
  <si>
    <t>土谷　義正</t>
  </si>
  <si>
    <t>00736</t>
  </si>
  <si>
    <t>藤川　大輔</t>
  </si>
  <si>
    <t>◎新入社員分合計</t>
  </si>
  <si>
    <t>00514</t>
  </si>
  <si>
    <t>高野　由美子</t>
  </si>
  <si>
    <t>00553</t>
  </si>
  <si>
    <t>佐々木　清隆</t>
  </si>
  <si>
    <t>00667</t>
  </si>
  <si>
    <t>岡田　繁</t>
  </si>
  <si>
    <t>00668</t>
  </si>
  <si>
    <t>田上　飛龍</t>
  </si>
  <si>
    <t>00697</t>
  </si>
  <si>
    <t>小山　実</t>
  </si>
  <si>
    <t>00723</t>
  </si>
  <si>
    <t>鈴木　正宏</t>
  </si>
  <si>
    <t>00726</t>
  </si>
  <si>
    <t>霧生　麗弥</t>
  </si>
  <si>
    <t>00988</t>
  </si>
  <si>
    <t>柏瀬　敏子</t>
  </si>
  <si>
    <t>Y</t>
    <phoneticPr fontId="2"/>
  </si>
  <si>
    <t>大阪支店</t>
    <rPh sb="0" eb="2">
      <t>オオサカ</t>
    </rPh>
    <rPh sb="2" eb="4">
      <t>シテン</t>
    </rPh>
    <phoneticPr fontId="3"/>
  </si>
  <si>
    <t>大阪営業</t>
    <rPh sb="0" eb="2">
      <t>オオサカ</t>
    </rPh>
    <rPh sb="2" eb="4">
      <t>エイギョウ</t>
    </rPh>
    <phoneticPr fontId="3"/>
  </si>
  <si>
    <t>大阪開発課</t>
    <rPh sb="0" eb="2">
      <t>オオサカ</t>
    </rPh>
    <rPh sb="2" eb="4">
      <t>カイハツ</t>
    </rPh>
    <rPh sb="4" eb="5">
      <t>カ</t>
    </rPh>
    <phoneticPr fontId="18"/>
  </si>
  <si>
    <t>大阪一般</t>
    <rPh sb="0" eb="2">
      <t>オオサカ</t>
    </rPh>
    <rPh sb="2" eb="4">
      <t>イッパン</t>
    </rPh>
    <phoneticPr fontId="18"/>
  </si>
  <si>
    <t>大阪加工課</t>
    <rPh sb="0" eb="2">
      <t>オオサカ</t>
    </rPh>
    <rPh sb="2" eb="4">
      <t>カコウ</t>
    </rPh>
    <rPh sb="4" eb="5">
      <t>カ</t>
    </rPh>
    <phoneticPr fontId="3"/>
  </si>
  <si>
    <t>福岡営業</t>
    <rPh sb="0" eb="2">
      <t>フクオカ</t>
    </rPh>
    <rPh sb="2" eb="4">
      <t>エイギョウ</t>
    </rPh>
    <phoneticPr fontId="18"/>
  </si>
  <si>
    <t>福岡一般</t>
    <rPh sb="0" eb="2">
      <t>フクオカ</t>
    </rPh>
    <rPh sb="2" eb="4">
      <t>イッパン</t>
    </rPh>
    <phoneticPr fontId="3"/>
  </si>
  <si>
    <t>福岡加工課</t>
    <rPh sb="0" eb="2">
      <t>フクオカ</t>
    </rPh>
    <rPh sb="2" eb="5">
      <t>カコウカ</t>
    </rPh>
    <phoneticPr fontId="3"/>
  </si>
  <si>
    <t>名古屋営業</t>
    <rPh sb="0" eb="3">
      <t>ナゴヤ</t>
    </rPh>
    <rPh sb="3" eb="5">
      <t>エイギョウ</t>
    </rPh>
    <phoneticPr fontId="18"/>
  </si>
  <si>
    <t>名古屋一般</t>
    <rPh sb="0" eb="3">
      <t>ナゴヤ</t>
    </rPh>
    <rPh sb="3" eb="5">
      <t>イッパン</t>
    </rPh>
    <phoneticPr fontId="3"/>
  </si>
  <si>
    <t>名古屋加工課</t>
    <rPh sb="0" eb="3">
      <t>ナゴヤ</t>
    </rPh>
    <rPh sb="3" eb="6">
      <t>カコウカ</t>
    </rPh>
    <phoneticPr fontId="3"/>
  </si>
  <si>
    <t>東京営業</t>
    <rPh sb="0" eb="2">
      <t>トウキョウ</t>
    </rPh>
    <rPh sb="2" eb="4">
      <t>エイギョウ</t>
    </rPh>
    <phoneticPr fontId="3"/>
  </si>
  <si>
    <t>東京支店</t>
    <rPh sb="0" eb="2">
      <t>トウキョウ</t>
    </rPh>
    <rPh sb="2" eb="4">
      <t>シテン</t>
    </rPh>
    <phoneticPr fontId="18"/>
  </si>
  <si>
    <t>南関東営業</t>
    <rPh sb="0" eb="1">
      <t>ミナミ</t>
    </rPh>
    <rPh sb="1" eb="3">
      <t>カントウ</t>
    </rPh>
    <rPh sb="3" eb="5">
      <t>エイギョウ</t>
    </rPh>
    <phoneticPr fontId="18"/>
  </si>
  <si>
    <t>仙台営業</t>
    <rPh sb="0" eb="2">
      <t>センダイ</t>
    </rPh>
    <rPh sb="2" eb="4">
      <t>エイギョウ</t>
    </rPh>
    <phoneticPr fontId="18"/>
  </si>
  <si>
    <t>北関東営業</t>
    <rPh sb="0" eb="1">
      <t>キタ</t>
    </rPh>
    <rPh sb="1" eb="3">
      <t>カントウ</t>
    </rPh>
    <rPh sb="3" eb="5">
      <t>エイギョウ</t>
    </rPh>
    <phoneticPr fontId="18"/>
  </si>
  <si>
    <t>東京一般</t>
    <rPh sb="0" eb="2">
      <t>トウキョウ</t>
    </rPh>
    <rPh sb="2" eb="4">
      <t>イッパン</t>
    </rPh>
    <phoneticPr fontId="3"/>
  </si>
  <si>
    <t>東京加工課</t>
    <rPh sb="0" eb="2">
      <t>トウキョウ</t>
    </rPh>
    <rPh sb="2" eb="4">
      <t>カコウ</t>
    </rPh>
    <rPh sb="4" eb="5">
      <t>カ</t>
    </rPh>
    <phoneticPr fontId="18"/>
  </si>
  <si>
    <t>南関東一般</t>
    <rPh sb="0" eb="1">
      <t>ミナミ</t>
    </rPh>
    <rPh sb="1" eb="3">
      <t>カントウ</t>
    </rPh>
    <rPh sb="3" eb="5">
      <t>イッパン</t>
    </rPh>
    <phoneticPr fontId="18"/>
  </si>
  <si>
    <t>南関東加工課</t>
    <rPh sb="0" eb="1">
      <t>ミナミ</t>
    </rPh>
    <rPh sb="1" eb="3">
      <t>カントウ</t>
    </rPh>
    <rPh sb="3" eb="5">
      <t>カコウ</t>
    </rPh>
    <rPh sb="5" eb="6">
      <t>カ</t>
    </rPh>
    <phoneticPr fontId="18"/>
  </si>
  <si>
    <t>仙台一般</t>
    <rPh sb="0" eb="2">
      <t>センダイ</t>
    </rPh>
    <rPh sb="2" eb="4">
      <t>イッパン</t>
    </rPh>
    <phoneticPr fontId="18"/>
  </si>
  <si>
    <t>仙台加工課</t>
    <rPh sb="0" eb="2">
      <t>センダイ</t>
    </rPh>
    <rPh sb="2" eb="5">
      <t>カコウカ</t>
    </rPh>
    <phoneticPr fontId="3"/>
  </si>
  <si>
    <t>北関東一般</t>
    <rPh sb="0" eb="1">
      <t>キタ</t>
    </rPh>
    <rPh sb="1" eb="3">
      <t>カントウ</t>
    </rPh>
    <rPh sb="3" eb="5">
      <t>イッパン</t>
    </rPh>
    <phoneticPr fontId="18"/>
  </si>
  <si>
    <t>北関東加工課</t>
    <rPh sb="0" eb="1">
      <t>キタ</t>
    </rPh>
    <rPh sb="1" eb="3">
      <t>カントウ</t>
    </rPh>
    <rPh sb="3" eb="5">
      <t>カコウ</t>
    </rPh>
    <rPh sb="5" eb="6">
      <t>カ</t>
    </rPh>
    <phoneticPr fontId="18"/>
  </si>
  <si>
    <t>貿易部</t>
    <rPh sb="0" eb="2">
      <t>ボウエキ</t>
    </rPh>
    <rPh sb="2" eb="3">
      <t>ブ</t>
    </rPh>
    <phoneticPr fontId="18"/>
  </si>
  <si>
    <t>システム部</t>
    <rPh sb="4" eb="5">
      <t>ブ</t>
    </rPh>
    <phoneticPr fontId="18"/>
  </si>
  <si>
    <t>本部</t>
    <rPh sb="0" eb="2">
      <t>ホンブ</t>
    </rPh>
    <phoneticPr fontId="18"/>
  </si>
  <si>
    <t>経理部</t>
    <rPh sb="0" eb="2">
      <t>ケイリ</t>
    </rPh>
    <rPh sb="2" eb="3">
      <t>ブ</t>
    </rPh>
    <phoneticPr fontId="18"/>
  </si>
  <si>
    <t>東海管理</t>
    <rPh sb="0" eb="2">
      <t>トウカイ</t>
    </rPh>
    <rPh sb="2" eb="4">
      <t>カンリ</t>
    </rPh>
    <phoneticPr fontId="18"/>
  </si>
  <si>
    <t>東海業務</t>
    <rPh sb="0" eb="2">
      <t>トウカイ</t>
    </rPh>
    <rPh sb="2" eb="4">
      <t>ギョウム</t>
    </rPh>
    <phoneticPr fontId="18"/>
  </si>
  <si>
    <t>東海製造</t>
    <rPh sb="0" eb="2">
      <t>トウカイ</t>
    </rPh>
    <rPh sb="2" eb="4">
      <t>セイゾウ</t>
    </rPh>
    <phoneticPr fontId="18"/>
  </si>
  <si>
    <t>東海ｱﾙｺｯｸ</t>
    <rPh sb="0" eb="2">
      <t>トウカイ</t>
    </rPh>
    <phoneticPr fontId="18"/>
  </si>
  <si>
    <t>関東営業</t>
    <rPh sb="2" eb="4">
      <t>エイギョウ</t>
    </rPh>
    <phoneticPr fontId="18"/>
  </si>
  <si>
    <t>関東業務</t>
    <rPh sb="0" eb="2">
      <t>カントウ</t>
    </rPh>
    <rPh sb="2" eb="4">
      <t>ギョウム</t>
    </rPh>
    <phoneticPr fontId="18"/>
  </si>
  <si>
    <t>関東製造</t>
    <rPh sb="0" eb="2">
      <t>カントウ</t>
    </rPh>
    <rPh sb="2" eb="4">
      <t>セイゾウ</t>
    </rPh>
    <phoneticPr fontId="18"/>
  </si>
  <si>
    <t>関東ｱﾙｺｯｸ</t>
    <rPh sb="0" eb="2">
      <t>カントウ</t>
    </rPh>
    <phoneticPr fontId="18"/>
  </si>
  <si>
    <t>非常勤・休業</t>
    <rPh sb="0" eb="3">
      <t>ヒジョウキン</t>
    </rPh>
    <rPh sb="4" eb="6">
      <t>キュウギョウ</t>
    </rPh>
    <phoneticPr fontId="18"/>
  </si>
  <si>
    <t>60</t>
  </si>
  <si>
    <t>役員</t>
    <rPh sb="0" eb="2">
      <t>ヤクイン</t>
    </rPh>
    <phoneticPr fontId="3"/>
  </si>
  <si>
    <t>井上　千尋</t>
    <phoneticPr fontId="2"/>
  </si>
  <si>
    <t>1</t>
  </si>
  <si>
    <t>TA</t>
  </si>
  <si>
    <t>東海</t>
    <phoneticPr fontId="2"/>
  </si>
  <si>
    <t>02124</t>
  </si>
  <si>
    <t>山本　恵子</t>
  </si>
  <si>
    <t>02126</t>
  </si>
  <si>
    <t>大塚　弘美</t>
  </si>
  <si>
    <t>02130</t>
  </si>
  <si>
    <t>桂山　彰子</t>
  </si>
  <si>
    <t>02133</t>
  </si>
  <si>
    <t>寺田　莉彩</t>
  </si>
  <si>
    <t>02134</t>
  </si>
  <si>
    <t>尾崎　みどり</t>
  </si>
  <si>
    <t>03041</t>
  </si>
  <si>
    <t>岡田　輝</t>
  </si>
  <si>
    <t>03052</t>
  </si>
  <si>
    <t>石原　正佳</t>
  </si>
  <si>
    <t>03069</t>
  </si>
  <si>
    <t>大場　宏行</t>
  </si>
  <si>
    <t>03074</t>
  </si>
  <si>
    <t>鈴木　勝之</t>
  </si>
  <si>
    <t>03088</t>
  </si>
  <si>
    <t>鈴木　久生</t>
  </si>
  <si>
    <t>03090</t>
  </si>
  <si>
    <t>斉藤　孝二</t>
  </si>
  <si>
    <t>03100</t>
  </si>
  <si>
    <t>村松　幸男</t>
  </si>
  <si>
    <t>03110</t>
  </si>
  <si>
    <t>関塚　大</t>
  </si>
  <si>
    <t>03113</t>
  </si>
  <si>
    <t>戸田　大輔</t>
  </si>
  <si>
    <t>03114</t>
  </si>
  <si>
    <t>岡田　龍</t>
  </si>
  <si>
    <t>03118</t>
  </si>
  <si>
    <t>中安　諒</t>
  </si>
  <si>
    <t>03236</t>
  </si>
  <si>
    <t>近藤　真由美</t>
  </si>
  <si>
    <t>04228</t>
  </si>
  <si>
    <t>岡崎　八重子</t>
  </si>
  <si>
    <t>04229</t>
  </si>
  <si>
    <t>袴田　栄子</t>
  </si>
  <si>
    <t>04257</t>
  </si>
  <si>
    <t>鈴木　和也</t>
  </si>
  <si>
    <t>04259</t>
  </si>
  <si>
    <t>石川　里美</t>
  </si>
  <si>
    <t>令和4年夏季</t>
    <phoneticPr fontId="2"/>
  </si>
  <si>
    <t>北関東</t>
  </si>
  <si>
    <t>基本(1.5)</t>
  </si>
  <si>
    <t>00741</t>
  </si>
  <si>
    <t>貝吹　拓海</t>
  </si>
  <si>
    <t>◎管理部門 社員分合計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</si>
</sst>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,##0;&quot;▲ &quot;#,##0"/>
    <numFmt numFmtId="177" formatCode="[$-411]ggge&quot;年&quot;m&quot;月&quot;d&quot;日&quot;;@"/>
    <numFmt numFmtId="178" formatCode="#,##0.00_ ;[Red]\-#,##0.00\ "/>
    <numFmt numFmtId="179" formatCode="0.00_ ;[Red]\-0.00\ "/>
    <numFmt numFmtId="180" formatCode="0.0%"/>
    <numFmt numFmtId="181" formatCode="#,##0.00_ "/>
    <numFmt numFmtId="182" formatCode="#,##0;&quot;△ &quot;#,##0"/>
    <numFmt numFmtId="183" formatCode="#,##0.00;&quot;△ &quot;#,##0.00"/>
  </numFmts>
  <fonts count="29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4"/>
      <color indexed="57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sz val="16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Ｐ明朝"/>
      <family val="1"/>
      <charset val="128"/>
    </font>
    <font>
      <b/>
      <sz val="14"/>
      <color rgb="FFFF0000"/>
      <name val="ＭＳ Ｐ明朝"/>
      <family val="1"/>
      <charset val="128"/>
    </font>
    <font>
      <sz val="11"/>
      <color rgb="FFFF0000"/>
      <name val="ＭＳ Ｐゴシック"/>
      <family val="3"/>
      <charset val="128"/>
    </font>
    <font>
      <sz val="11"/>
      <color rgb="FF008080"/>
      <name val="ＭＳ Ｐゴシック"/>
      <family val="3"/>
      <charset val="128"/>
    </font>
    <font>
      <sz val="11"/>
      <color rgb="FFFF6600"/>
      <name val="ＭＳ Ｐゴシック"/>
      <family val="3"/>
      <charset val="128"/>
    </font>
    <font>
      <b/>
      <sz val="11"/>
      <color rgb="FF339966"/>
      <name val="ＭＳ Ｐゴシック"/>
      <family val="3"/>
      <charset val="128"/>
    </font>
    <font>
      <b/>
      <sz val="11"/>
      <color rgb="FFFF00FF"/>
      <name val="ＭＳ Ｐゴシック"/>
      <family val="3"/>
      <charset val="128"/>
    </font>
    <font>
      <sz val="11"/>
      <color rgb="FF9933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8000"/>
      <name val="ＭＳ Ｐゴシック"/>
      <family val="3"/>
      <charset val="128"/>
    </font>
    <font>
      <sz val="6"/>
      <name val="ＭＳ Ｐ明朝"/>
      <family val="1"/>
      <charset val="128"/>
    </font>
    <font>
      <b/>
      <sz val="14"/>
      <name val="ＭＳ Ｐ明朝"/>
      <family val="1"/>
      <charset val="128"/>
    </font>
    <font>
      <sz val="11"/>
      <name val="ＭＳ Ｐ明朝"/>
      <family val="1"/>
      <charset val="128"/>
    </font>
    <font>
      <b/>
      <sz val="16"/>
      <name val="ＭＳ Ｐ明朝"/>
      <family val="1"/>
      <charset val="128"/>
    </font>
    <font>
      <sz val="12"/>
      <name val="ＭＳ Ｐ明朝"/>
      <family val="1"/>
      <charset val="128"/>
    </font>
    <font>
      <sz val="16"/>
      <name val="ＭＳ Ｐ明朝"/>
      <family val="1"/>
      <charset val="128"/>
    </font>
    <font>
      <sz val="12"/>
      <name val="ＭＳ 明朝"/>
      <family val="1"/>
      <charset val="128"/>
    </font>
    <font>
      <b/>
      <sz val="11"/>
      <color rgb="FFFF0000"/>
      <name val="ＭＳ Ｐゴシック"/>
      <family val="3"/>
      <charset val="128"/>
    </font>
    <font>
      <sz val="11"/>
      <color rgb="FFFF8080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0"/>
      </bottom>
      <diagonal/>
    </border>
    <border>
      <left style="hair">
        <color indexed="64"/>
      </left>
      <right/>
      <top style="thin">
        <color indexed="64"/>
      </top>
      <bottom style="hair">
        <color indexed="0"/>
      </bottom>
      <diagonal/>
    </border>
    <border>
      <left/>
      <right/>
      <top style="thin">
        <color indexed="64"/>
      </top>
      <bottom style="hair">
        <color indexed="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0"/>
      </bottom>
      <diagonal/>
    </border>
    <border>
      <left style="thin">
        <color indexed="64"/>
      </left>
      <right/>
      <top style="hair">
        <color indexed="0"/>
      </top>
      <bottom style="hair">
        <color indexed="0"/>
      </bottom>
      <diagonal/>
    </border>
    <border>
      <left style="hair">
        <color indexed="64"/>
      </left>
      <right/>
      <top style="hair">
        <color indexed="0"/>
      </top>
      <bottom style="hair">
        <color indexed="0"/>
      </bottom>
      <diagonal/>
    </border>
    <border>
      <left/>
      <right/>
      <top style="hair">
        <color indexed="0"/>
      </top>
      <bottom style="hair">
        <color indexed="0"/>
      </bottom>
      <diagonal/>
    </border>
    <border>
      <left style="hair">
        <color indexed="64"/>
      </left>
      <right style="thin">
        <color indexed="64"/>
      </right>
      <top style="hair">
        <color indexed="0"/>
      </top>
      <bottom style="hair">
        <color indexed="0"/>
      </bottom>
      <diagonal/>
    </border>
    <border>
      <left style="thin">
        <color indexed="64"/>
      </left>
      <right style="hair">
        <color indexed="64"/>
      </right>
      <top style="hair">
        <color indexed="0"/>
      </top>
      <bottom style="hair">
        <color indexed="0"/>
      </bottom>
      <diagonal/>
    </border>
    <border>
      <left style="thin">
        <color indexed="64"/>
      </left>
      <right/>
      <top style="hair">
        <color indexed="0"/>
      </top>
      <bottom style="thin">
        <color indexed="64"/>
      </bottom>
      <diagonal/>
    </border>
    <border>
      <left style="hair">
        <color indexed="64"/>
      </left>
      <right/>
      <top style="hair">
        <color indexed="0"/>
      </top>
      <bottom style="thin">
        <color indexed="64"/>
      </bottom>
      <diagonal/>
    </border>
    <border>
      <left/>
      <right/>
      <top style="hair">
        <color indexed="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0"/>
      </bottom>
      <diagonal/>
    </border>
    <border>
      <left style="hair">
        <color indexed="64"/>
      </left>
      <right/>
      <top/>
      <bottom style="hair">
        <color indexed="0"/>
      </bottom>
      <diagonal/>
    </border>
    <border>
      <left/>
      <right/>
      <top/>
      <bottom style="hair">
        <color indexed="0"/>
      </bottom>
      <diagonal/>
    </border>
    <border>
      <left style="hair">
        <color indexed="64"/>
      </left>
      <right style="thin">
        <color indexed="64"/>
      </right>
      <top/>
      <bottom style="hair">
        <color indexed="0"/>
      </bottom>
      <diagonal/>
    </border>
    <border>
      <left style="thin">
        <color indexed="64"/>
      </left>
      <right style="hair">
        <color indexed="64"/>
      </right>
      <top/>
      <bottom style="hair">
        <color indexed="0"/>
      </bottom>
      <diagonal/>
    </border>
    <border>
      <left style="thin">
        <color indexed="64"/>
      </left>
      <right/>
      <top style="hair">
        <color indexed="0"/>
      </top>
      <bottom style="double">
        <color indexed="0"/>
      </bottom>
      <diagonal/>
    </border>
    <border>
      <left style="hair">
        <color indexed="64"/>
      </left>
      <right/>
      <top style="hair">
        <color indexed="0"/>
      </top>
      <bottom style="double">
        <color indexed="0"/>
      </bottom>
      <diagonal/>
    </border>
    <border>
      <left/>
      <right/>
      <top style="hair">
        <color indexed="0"/>
      </top>
      <bottom style="double">
        <color indexed="0"/>
      </bottom>
      <diagonal/>
    </border>
    <border>
      <left style="hair">
        <color indexed="64"/>
      </left>
      <right style="thin">
        <color indexed="64"/>
      </right>
      <top style="hair">
        <color indexed="0"/>
      </top>
      <bottom style="double">
        <color indexed="0"/>
      </bottom>
      <diagonal/>
    </border>
    <border>
      <left style="thin">
        <color indexed="64"/>
      </left>
      <right style="hair">
        <color indexed="64"/>
      </right>
      <top style="hair">
        <color indexed="0"/>
      </top>
      <bottom style="double">
        <color indexed="0"/>
      </bottom>
      <diagonal/>
    </border>
    <border>
      <left/>
      <right style="hair">
        <color auto="1"/>
      </right>
      <top style="thin">
        <color indexed="64"/>
      </top>
      <bottom style="hair">
        <color indexed="0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 style="hair">
        <color indexed="0"/>
      </bottom>
      <diagonal/>
    </border>
    <border>
      <left/>
      <right style="hair">
        <color auto="1"/>
      </right>
      <top style="hair">
        <color indexed="0"/>
      </top>
      <bottom style="hair">
        <color indexed="0"/>
      </bottom>
      <diagonal/>
    </border>
    <border>
      <left style="hair">
        <color auto="1"/>
      </left>
      <right style="hair">
        <color indexed="64"/>
      </right>
      <top style="hair">
        <color indexed="0"/>
      </top>
      <bottom style="hair">
        <color indexed="0"/>
      </bottom>
      <diagonal/>
    </border>
    <border>
      <left/>
      <right style="hair">
        <color auto="1"/>
      </right>
      <top style="hair">
        <color indexed="0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hair">
        <color indexed="0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 style="hair">
        <color indexed="0"/>
      </bottom>
      <diagonal/>
    </border>
    <border>
      <left style="hair">
        <color auto="1"/>
      </left>
      <right style="hair">
        <color indexed="64"/>
      </right>
      <top style="hair">
        <color indexed="0"/>
      </top>
      <bottom style="double">
        <color indexed="0"/>
      </bottom>
      <diagonal/>
    </border>
    <border>
      <left/>
      <right style="hair">
        <color auto="1"/>
      </right>
      <top style="hair">
        <color indexed="0"/>
      </top>
      <bottom style="double">
        <color indexed="0"/>
      </bottom>
      <diagonal/>
    </border>
    <border>
      <left/>
      <right style="hair">
        <color auto="1"/>
      </right>
      <top/>
      <bottom style="hair">
        <color indexed="0"/>
      </bottom>
      <diagonal/>
    </border>
  </borders>
  <cellStyleXfs count="6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21" fillId="0" borderId="0"/>
    <xf numFmtId="38" fontId="1" fillId="0" borderId="0" applyFont="0" applyFill="0" applyBorder="0" applyAlignment="0" applyProtection="0">
      <alignment vertical="center"/>
    </xf>
  </cellStyleXfs>
  <cellXfs count="23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8" fontId="0" fillId="0" borderId="0" xfId="2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2" applyFont="1" applyBorder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49" fontId="0" fillId="0" borderId="2" xfId="0" applyNumberFormat="1" applyBorder="1">
      <alignment vertical="center"/>
    </xf>
    <xf numFmtId="0" fontId="0" fillId="0" borderId="1" xfId="0" applyNumberFormat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38" fontId="0" fillId="2" borderId="1" xfId="2" applyFont="1" applyFill="1" applyBorder="1" applyAlignment="1">
      <alignment horizontal="center" vertical="center"/>
    </xf>
    <xf numFmtId="49" fontId="0" fillId="2" borderId="1" xfId="2" applyNumberFormat="1" applyFont="1" applyFill="1" applyBorder="1" applyAlignment="1">
      <alignment horizontal="center" vertical="center"/>
    </xf>
    <xf numFmtId="0" fontId="0" fillId="2" borderId="1" xfId="2" applyNumberFormat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" borderId="1" xfId="0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Border="1">
      <alignment vertical="center"/>
    </xf>
    <xf numFmtId="0" fontId="0" fillId="0" borderId="2" xfId="0" applyBorder="1">
      <alignment vertical="center"/>
    </xf>
    <xf numFmtId="0" fontId="0" fillId="3" borderId="1" xfId="0" applyFill="1" applyBorder="1">
      <alignment vertical="center"/>
    </xf>
    <xf numFmtId="0" fontId="3" fillId="0" borderId="0" xfId="0" applyFont="1" applyFill="1" applyBorder="1">
      <alignment vertical="center"/>
    </xf>
    <xf numFmtId="0" fontId="7" fillId="0" borderId="0" xfId="0" applyFont="1">
      <alignment vertical="center"/>
    </xf>
    <xf numFmtId="177" fontId="0" fillId="0" borderId="0" xfId="0" applyNumberFormat="1" applyBorder="1" applyAlignment="1">
      <alignment horizontal="right" vertical="center"/>
    </xf>
    <xf numFmtId="177" fontId="0" fillId="0" borderId="9" xfId="0" applyNumberFormat="1" applyBorder="1" applyAlignment="1">
      <alignment vertical="center"/>
    </xf>
    <xf numFmtId="0" fontId="8" fillId="0" borderId="0" xfId="0" applyFont="1">
      <alignment vertical="center"/>
    </xf>
    <xf numFmtId="181" fontId="0" fillId="4" borderId="1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38" fontId="1" fillId="0" borderId="0" xfId="2">
      <alignment vertical="center"/>
    </xf>
    <xf numFmtId="38" fontId="1" fillId="2" borderId="1" xfId="2" applyFont="1" applyFill="1" applyBorder="1" applyAlignment="1">
      <alignment horizontal="center" vertical="center"/>
    </xf>
    <xf numFmtId="38" fontId="1" fillId="0" borderId="1" xfId="2" applyBorder="1">
      <alignment vertical="center"/>
    </xf>
    <xf numFmtId="38" fontId="1" fillId="2" borderId="10" xfId="2" applyFont="1" applyFill="1" applyBorder="1" applyAlignment="1">
      <alignment horizontal="center" vertical="center"/>
    </xf>
    <xf numFmtId="0" fontId="0" fillId="0" borderId="0" xfId="0" applyNumberFormat="1" applyBorder="1" applyAlignment="1">
      <alignment horizontal="left" vertical="center"/>
    </xf>
    <xf numFmtId="38" fontId="1" fillId="2" borderId="2" xfId="2" applyFont="1" applyFill="1" applyBorder="1" applyAlignment="1">
      <alignment horizontal="center" vertical="center"/>
    </xf>
    <xf numFmtId="38" fontId="1" fillId="0" borderId="0" xfId="2" applyFont="1" applyFill="1" applyBorder="1" applyAlignment="1">
      <alignment horizontal="center" vertical="center"/>
    </xf>
    <xf numFmtId="178" fontId="1" fillId="0" borderId="1" xfId="0" applyNumberFormat="1" applyFont="1" applyBorder="1">
      <alignment vertical="center"/>
    </xf>
    <xf numFmtId="38" fontId="0" fillId="0" borderId="1" xfId="2" applyFont="1" applyBorder="1" applyAlignment="1">
      <alignment horizontal="right" vertical="center"/>
    </xf>
    <xf numFmtId="38" fontId="1" fillId="0" borderId="1" xfId="2" applyBorder="1" applyAlignment="1">
      <alignment horizontal="right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181" fontId="0" fillId="0" borderId="0" xfId="0" applyNumberFormat="1" applyFill="1" applyBorder="1">
      <alignment vertical="center"/>
    </xf>
    <xf numFmtId="178" fontId="1" fillId="0" borderId="2" xfId="0" applyNumberFormat="1" applyFont="1" applyBorder="1">
      <alignment vertical="center"/>
    </xf>
    <xf numFmtId="38" fontId="1" fillId="0" borderId="10" xfId="2" applyFont="1" applyBorder="1">
      <alignment vertical="center"/>
    </xf>
    <xf numFmtId="38" fontId="1" fillId="2" borderId="11" xfId="2" applyFont="1" applyFill="1" applyBorder="1" applyAlignment="1">
      <alignment horizontal="center" vertical="center"/>
    </xf>
    <xf numFmtId="38" fontId="1" fillId="2" borderId="12" xfId="2" applyFont="1" applyFill="1" applyBorder="1" applyAlignment="1">
      <alignment horizontal="center" vertical="center"/>
    </xf>
    <xf numFmtId="38" fontId="1" fillId="0" borderId="11" xfId="2" applyFont="1" applyBorder="1">
      <alignment vertical="center"/>
    </xf>
    <xf numFmtId="178" fontId="1" fillId="0" borderId="12" xfId="0" applyNumberFormat="1" applyFont="1" applyBorder="1">
      <alignment vertical="center"/>
    </xf>
    <xf numFmtId="0" fontId="0" fillId="0" borderId="1" xfId="0" applyNumberFormat="1" applyBorder="1">
      <alignment vertical="center"/>
    </xf>
    <xf numFmtId="0" fontId="0" fillId="0" borderId="0" xfId="0" applyNumberFormat="1" applyBorder="1">
      <alignment vertical="center"/>
    </xf>
    <xf numFmtId="49" fontId="0" fillId="0" borderId="0" xfId="0" applyNumberFormat="1" applyBorder="1">
      <alignment vertical="center"/>
    </xf>
    <xf numFmtId="0" fontId="0" fillId="0" borderId="1" xfId="0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38" fontId="0" fillId="0" borderId="1" xfId="2" applyFont="1" applyFill="1" applyBorder="1">
      <alignment vertical="center"/>
    </xf>
    <xf numFmtId="49" fontId="0" fillId="0" borderId="1" xfId="0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left" vertical="center"/>
    </xf>
    <xf numFmtId="182" fontId="1" fillId="0" borderId="0" xfId="0" applyNumberFormat="1" applyFont="1" applyBorder="1">
      <alignment vertical="center"/>
    </xf>
    <xf numFmtId="3" fontId="0" fillId="0" borderId="0" xfId="0" applyNumberFormat="1" applyBorder="1">
      <alignment vertical="center"/>
    </xf>
    <xf numFmtId="0" fontId="9" fillId="0" borderId="13" xfId="0" applyFont="1" applyBorder="1">
      <alignment vertical="center"/>
    </xf>
    <xf numFmtId="0" fontId="9" fillId="0" borderId="14" xfId="0" applyFont="1" applyBorder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9" fillId="0" borderId="0" xfId="0" applyFont="1" applyBorder="1">
      <alignment vertical="center"/>
    </xf>
    <xf numFmtId="0" fontId="9" fillId="0" borderId="15" xfId="0" applyFont="1" applyBorder="1">
      <alignment vertical="center"/>
    </xf>
    <xf numFmtId="0" fontId="9" fillId="0" borderId="1" xfId="0" applyFont="1" applyBorder="1" applyAlignment="1">
      <alignment horizontal="center" vertical="center"/>
    </xf>
    <xf numFmtId="38" fontId="9" fillId="0" borderId="1" xfId="2" applyFont="1" applyBorder="1">
      <alignment vertical="center"/>
    </xf>
    <xf numFmtId="38" fontId="9" fillId="0" borderId="16" xfId="2" applyFont="1" applyBorder="1">
      <alignment vertical="center"/>
    </xf>
    <xf numFmtId="180" fontId="9" fillId="0" borderId="1" xfId="1" applyNumberFormat="1" applyFont="1" applyBorder="1">
      <alignment vertical="center"/>
    </xf>
    <xf numFmtId="182" fontId="9" fillId="0" borderId="13" xfId="2" applyNumberFormat="1" applyFont="1" applyBorder="1">
      <alignment vertical="center"/>
    </xf>
    <xf numFmtId="182" fontId="9" fillId="0" borderId="1" xfId="2" applyNumberFormat="1" applyFont="1" applyBorder="1">
      <alignment vertical="center"/>
    </xf>
    <xf numFmtId="180" fontId="9" fillId="0" borderId="0" xfId="1" applyNumberFormat="1" applyFont="1" applyBorder="1">
      <alignment vertical="center"/>
    </xf>
    <xf numFmtId="0" fontId="9" fillId="0" borderId="17" xfId="0" applyFont="1" applyBorder="1">
      <alignment vertical="center"/>
    </xf>
    <xf numFmtId="40" fontId="9" fillId="0" borderId="1" xfId="2" applyNumberFormat="1" applyFont="1" applyBorder="1">
      <alignment vertical="center"/>
    </xf>
    <xf numFmtId="183" fontId="9" fillId="0" borderId="1" xfId="2" applyNumberFormat="1" applyFont="1" applyBorder="1">
      <alignment vertical="center"/>
    </xf>
    <xf numFmtId="0" fontId="0" fillId="0" borderId="18" xfId="0" applyFont="1" applyBorder="1">
      <alignment vertical="center"/>
    </xf>
    <xf numFmtId="176" fontId="0" fillId="0" borderId="20" xfId="0" applyNumberFormat="1" applyFont="1" applyBorder="1" applyAlignment="1">
      <alignment horizontal="center" vertical="center"/>
    </xf>
    <xf numFmtId="0" fontId="0" fillId="0" borderId="23" xfId="0" applyFont="1" applyBorder="1">
      <alignment vertical="center"/>
    </xf>
    <xf numFmtId="176" fontId="0" fillId="0" borderId="25" xfId="0" applyNumberFormat="1" applyFont="1" applyBorder="1" applyAlignment="1">
      <alignment horizontal="center" vertical="center"/>
    </xf>
    <xf numFmtId="0" fontId="0" fillId="0" borderId="28" xfId="0" applyFont="1" applyBorder="1">
      <alignment vertical="center"/>
    </xf>
    <xf numFmtId="176" fontId="0" fillId="0" borderId="30" xfId="0" applyNumberFormat="1" applyFont="1" applyBorder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76" fontId="0" fillId="0" borderId="19" xfId="0" applyNumberFormat="1" applyFont="1" applyBorder="1" applyAlignment="1">
      <alignment horizontal="center" vertical="center" shrinkToFit="1"/>
    </xf>
    <xf numFmtId="176" fontId="0" fillId="0" borderId="24" xfId="0" applyNumberFormat="1" applyFont="1" applyBorder="1" applyAlignment="1">
      <alignment horizontal="center" vertical="center" shrinkToFit="1"/>
    </xf>
    <xf numFmtId="176" fontId="0" fillId="0" borderId="29" xfId="0" applyNumberFormat="1" applyFont="1" applyBorder="1" applyAlignment="1">
      <alignment horizontal="center" vertical="center" shrinkToFit="1"/>
    </xf>
    <xf numFmtId="49" fontId="1" fillId="0" borderId="1" xfId="3" applyNumberFormat="1" applyBorder="1">
      <alignment vertical="center"/>
    </xf>
    <xf numFmtId="0" fontId="1" fillId="0" borderId="1" xfId="3" applyBorder="1">
      <alignment vertical="center"/>
    </xf>
    <xf numFmtId="38" fontId="3" fillId="0" borderId="22" xfId="0" applyNumberFormat="1" applyFont="1" applyBorder="1">
      <alignment vertical="center"/>
    </xf>
    <xf numFmtId="179" fontId="3" fillId="0" borderId="21" xfId="0" applyNumberFormat="1" applyFont="1" applyBorder="1">
      <alignment vertical="center"/>
    </xf>
    <xf numFmtId="38" fontId="3" fillId="0" borderId="27" xfId="0" applyNumberFormat="1" applyFont="1" applyBorder="1">
      <alignment vertical="center"/>
    </xf>
    <xf numFmtId="179" fontId="3" fillId="0" borderId="26" xfId="0" applyNumberFormat="1" applyFont="1" applyBorder="1">
      <alignment vertical="center"/>
    </xf>
    <xf numFmtId="38" fontId="3" fillId="0" borderId="32" xfId="0" applyNumberFormat="1" applyFont="1" applyBorder="1">
      <alignment vertical="center"/>
    </xf>
    <xf numFmtId="179" fontId="3" fillId="0" borderId="31" xfId="0" applyNumberFormat="1" applyFont="1" applyBorder="1">
      <alignment vertical="center"/>
    </xf>
    <xf numFmtId="40" fontId="9" fillId="0" borderId="0" xfId="2" applyNumberFormat="1" applyFont="1" applyBorder="1">
      <alignment vertical="center"/>
    </xf>
    <xf numFmtId="0" fontId="20" fillId="0" borderId="0" xfId="0" applyFont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58" fontId="9" fillId="0" borderId="0" xfId="0" applyNumberFormat="1" applyFont="1" applyAlignment="1">
      <alignment horizontal="left" vertical="center"/>
    </xf>
    <xf numFmtId="0" fontId="9" fillId="0" borderId="0" xfId="4" applyFont="1"/>
    <xf numFmtId="0" fontId="23" fillId="0" borderId="0" xfId="4" applyFont="1"/>
    <xf numFmtId="180" fontId="0" fillId="0" borderId="21" xfId="0" applyNumberFormat="1" applyFont="1" applyBorder="1" applyAlignment="1">
      <alignment vertical="center" shrinkToFit="1"/>
    </xf>
    <xf numFmtId="180" fontId="0" fillId="0" borderId="26" xfId="0" applyNumberFormat="1" applyFont="1" applyBorder="1" applyAlignment="1">
      <alignment vertical="center" shrinkToFit="1"/>
    </xf>
    <xf numFmtId="180" fontId="1" fillId="0" borderId="26" xfId="1" applyNumberFormat="1" applyFont="1" applyBorder="1" applyAlignment="1">
      <alignment vertical="center" shrinkToFit="1"/>
    </xf>
    <xf numFmtId="180" fontId="0" fillId="0" borderId="31" xfId="0" applyNumberFormat="1" applyFont="1" applyBorder="1" applyAlignment="1">
      <alignment vertical="center" shrinkToFit="1"/>
    </xf>
    <xf numFmtId="0" fontId="9" fillId="0" borderId="0" xfId="0" applyFont="1" applyAlignment="1">
      <alignment vertical="center"/>
    </xf>
    <xf numFmtId="0" fontId="22" fillId="0" borderId="0" xfId="0" applyFont="1" applyBorder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horizontal="right" vertical="center"/>
    </xf>
    <xf numFmtId="0" fontId="9" fillId="0" borderId="37" xfId="0" applyFont="1" applyBorder="1">
      <alignment vertical="center"/>
    </xf>
    <xf numFmtId="38" fontId="9" fillId="0" borderId="38" xfId="2" applyFont="1" applyBorder="1">
      <alignment vertical="center"/>
    </xf>
    <xf numFmtId="0" fontId="9" fillId="0" borderId="39" xfId="0" applyFont="1" applyBorder="1">
      <alignment vertical="center"/>
    </xf>
    <xf numFmtId="177" fontId="23" fillId="0" borderId="40" xfId="2" applyNumberFormat="1" applyFont="1" applyBorder="1">
      <alignment vertical="center"/>
    </xf>
    <xf numFmtId="0" fontId="25" fillId="0" borderId="0" xfId="0" applyFont="1" applyAlignment="1">
      <alignment horizontal="left" vertical="center"/>
    </xf>
    <xf numFmtId="0" fontId="21" fillId="0" borderId="0" xfId="0" applyFont="1" applyBorder="1">
      <alignment vertical="center"/>
    </xf>
    <xf numFmtId="0" fontId="23" fillId="0" borderId="0" xfId="0" applyFont="1" applyBorder="1">
      <alignment vertical="center"/>
    </xf>
    <xf numFmtId="0" fontId="28" fillId="0" borderId="23" xfId="0" applyFont="1" applyBorder="1">
      <alignment vertical="center"/>
    </xf>
    <xf numFmtId="0" fontId="0" fillId="0" borderId="41" xfId="0" applyFont="1" applyBorder="1">
      <alignment vertical="center"/>
    </xf>
    <xf numFmtId="176" fontId="0" fillId="0" borderId="42" xfId="0" applyNumberFormat="1" applyFont="1" applyBorder="1" applyAlignment="1">
      <alignment horizontal="center" vertical="center" shrinkToFit="1"/>
    </xf>
    <xf numFmtId="176" fontId="0" fillId="0" borderId="43" xfId="0" applyNumberFormat="1" applyFont="1" applyBorder="1" applyAlignment="1">
      <alignment horizontal="center" vertical="center"/>
    </xf>
    <xf numFmtId="38" fontId="3" fillId="0" borderId="45" xfId="0" applyNumberFormat="1" applyFont="1" applyBorder="1">
      <alignment vertical="center"/>
    </xf>
    <xf numFmtId="179" fontId="3" fillId="0" borderId="44" xfId="0" applyNumberFormat="1" applyFont="1" applyBorder="1">
      <alignment vertical="center"/>
    </xf>
    <xf numFmtId="0" fontId="0" fillId="0" borderId="46" xfId="0" applyFont="1" applyBorder="1">
      <alignment vertical="center"/>
    </xf>
    <xf numFmtId="176" fontId="0" fillId="0" borderId="47" xfId="0" applyNumberFormat="1" applyFont="1" applyBorder="1" applyAlignment="1">
      <alignment horizontal="center" vertical="center" shrinkToFit="1"/>
    </xf>
    <xf numFmtId="176" fontId="0" fillId="0" borderId="48" xfId="0" applyNumberFormat="1" applyFont="1" applyBorder="1" applyAlignment="1">
      <alignment horizontal="center" vertical="center"/>
    </xf>
    <xf numFmtId="38" fontId="3" fillId="0" borderId="50" xfId="0" applyNumberFormat="1" applyFont="1" applyBorder="1">
      <alignment vertical="center"/>
    </xf>
    <xf numFmtId="179" fontId="3" fillId="0" borderId="49" xfId="0" applyNumberFormat="1" applyFont="1" applyBorder="1">
      <alignment vertical="center"/>
    </xf>
    <xf numFmtId="0" fontId="0" fillId="5" borderId="4" xfId="0" applyFill="1" applyBorder="1" applyAlignment="1">
      <alignment horizontal="center" shrinkToFit="1"/>
    </xf>
    <xf numFmtId="0" fontId="0" fillId="5" borderId="5" xfId="0" applyFill="1" applyBorder="1" applyAlignment="1">
      <alignment horizontal="center" shrinkToFit="1"/>
    </xf>
    <xf numFmtId="0" fontId="0" fillId="5" borderId="3" xfId="0" applyFill="1" applyBorder="1" applyAlignment="1">
      <alignment horizontal="center" shrinkToFit="1"/>
    </xf>
    <xf numFmtId="0" fontId="0" fillId="5" borderId="7" xfId="0" applyFill="1" applyBorder="1" applyAlignment="1">
      <alignment horizontal="center" shrinkToFit="1"/>
    </xf>
    <xf numFmtId="0" fontId="0" fillId="5" borderId="8" xfId="0" applyFill="1" applyBorder="1" applyAlignment="1">
      <alignment horizontal="center" shrinkToFit="1"/>
    </xf>
    <xf numFmtId="0" fontId="0" fillId="5" borderId="6" xfId="0" applyFill="1" applyBorder="1" applyAlignment="1">
      <alignment horizontal="center" shrinkToFit="1"/>
    </xf>
    <xf numFmtId="0" fontId="3" fillId="5" borderId="2" xfId="0" applyFont="1" applyFill="1" applyBorder="1">
      <alignment vertical="center"/>
    </xf>
    <xf numFmtId="180" fontId="1" fillId="0" borderId="49" xfId="1" applyNumberFormat="1" applyFont="1" applyBorder="1" applyAlignment="1">
      <alignment vertical="center" shrinkToFit="1"/>
    </xf>
    <xf numFmtId="180" fontId="0" fillId="0" borderId="44" xfId="0" applyNumberFormat="1" applyFont="1" applyBorder="1" applyAlignment="1">
      <alignment vertical="center" shrinkToFit="1"/>
    </xf>
    <xf numFmtId="180" fontId="0" fillId="0" borderId="49" xfId="0" applyNumberFormat="1" applyFont="1" applyBorder="1" applyAlignment="1">
      <alignment vertical="center" shrinkToFit="1"/>
    </xf>
    <xf numFmtId="0" fontId="0" fillId="0" borderId="51" xfId="0" applyFont="1" applyBorder="1" applyAlignment="1">
      <alignment horizontal="center" vertical="center" shrinkToFit="1"/>
    </xf>
    <xf numFmtId="38" fontId="0" fillId="0" borderId="52" xfId="0" applyNumberFormat="1" applyFont="1" applyBorder="1">
      <alignment vertical="center"/>
    </xf>
    <xf numFmtId="0" fontId="0" fillId="0" borderId="53" xfId="0" applyFont="1" applyBorder="1" applyAlignment="1">
      <alignment horizontal="center" vertical="center" shrinkToFit="1"/>
    </xf>
    <xf numFmtId="38" fontId="0" fillId="0" borderId="54" xfId="0" applyNumberFormat="1" applyFont="1" applyBorder="1">
      <alignment vertical="center"/>
    </xf>
    <xf numFmtId="0" fontId="0" fillId="0" borderId="53" xfId="0" applyFont="1" applyBorder="1" applyAlignment="1">
      <alignment horizontal="center" vertical="center"/>
    </xf>
    <xf numFmtId="0" fontId="0" fillId="0" borderId="55" xfId="0" applyFont="1" applyBorder="1" applyAlignment="1">
      <alignment horizontal="center" vertical="center"/>
    </xf>
    <xf numFmtId="38" fontId="0" fillId="0" borderId="56" xfId="0" applyNumberFormat="1" applyFont="1" applyBorder="1">
      <alignment vertical="center"/>
    </xf>
    <xf numFmtId="38" fontId="0" fillId="0" borderId="57" xfId="0" applyNumberFormat="1" applyFont="1" applyBorder="1">
      <alignment vertical="center"/>
    </xf>
    <xf numFmtId="38" fontId="0" fillId="0" borderId="58" xfId="0" applyNumberFormat="1" applyFont="1" applyBorder="1">
      <alignment vertical="center"/>
    </xf>
    <xf numFmtId="0" fontId="0" fillId="0" borderId="59" xfId="0" applyFont="1" applyBorder="1" applyAlignment="1">
      <alignment horizontal="center" vertical="center" shrinkToFit="1"/>
    </xf>
    <xf numFmtId="0" fontId="0" fillId="0" borderId="60" xfId="0" applyFont="1" applyBorder="1" applyAlignment="1">
      <alignment horizontal="center" vertical="center" shrinkToFit="1"/>
    </xf>
    <xf numFmtId="0" fontId="0" fillId="0" borderId="51" xfId="0" applyFont="1" applyBorder="1">
      <alignment vertical="center"/>
    </xf>
    <xf numFmtId="0" fontId="0" fillId="0" borderId="52" xfId="0" applyFont="1" applyBorder="1" applyAlignment="1">
      <alignment horizontal="left" vertical="center"/>
    </xf>
    <xf numFmtId="0" fontId="0" fillId="0" borderId="52" xfId="0" applyFont="1" applyBorder="1" applyAlignment="1">
      <alignment horizontal="center" vertical="center"/>
    </xf>
    <xf numFmtId="3" fontId="0" fillId="0" borderId="52" xfId="0" applyNumberFormat="1" applyFont="1" applyBorder="1">
      <alignment vertical="center"/>
    </xf>
    <xf numFmtId="183" fontId="0" fillId="0" borderId="52" xfId="0" applyNumberFormat="1" applyFont="1" applyBorder="1">
      <alignment vertical="center"/>
    </xf>
    <xf numFmtId="182" fontId="0" fillId="0" borderId="52" xfId="0" applyNumberFormat="1" applyFont="1" applyBorder="1" applyAlignment="1">
      <alignment vertical="center" shrinkToFit="1"/>
    </xf>
    <xf numFmtId="182" fontId="0" fillId="0" borderId="52" xfId="0" applyNumberFormat="1" applyFont="1" applyBorder="1">
      <alignment vertical="center"/>
    </xf>
    <xf numFmtId="178" fontId="0" fillId="0" borderId="52" xfId="0" applyNumberFormat="1" applyFont="1" applyBorder="1">
      <alignment vertical="center"/>
    </xf>
    <xf numFmtId="38" fontId="3" fillId="0" borderId="52" xfId="0" applyNumberFormat="1" applyFont="1" applyBorder="1">
      <alignment vertical="center"/>
    </xf>
    <xf numFmtId="0" fontId="0" fillId="0" borderId="53" xfId="0" applyFont="1" applyBorder="1">
      <alignment vertical="center"/>
    </xf>
    <xf numFmtId="40" fontId="0" fillId="0" borderId="54" xfId="0" applyNumberFormat="1" applyFont="1" applyBorder="1" applyAlignment="1">
      <alignment horizontal="left" vertical="center"/>
    </xf>
    <xf numFmtId="40" fontId="0" fillId="0" borderId="54" xfId="0" applyNumberFormat="1" applyFont="1" applyBorder="1" applyAlignment="1">
      <alignment horizontal="center" vertical="center"/>
    </xf>
    <xf numFmtId="3" fontId="0" fillId="0" borderId="54" xfId="0" applyNumberFormat="1" applyFont="1" applyBorder="1">
      <alignment vertical="center"/>
    </xf>
    <xf numFmtId="3" fontId="1" fillId="0" borderId="54" xfId="2" applyNumberFormat="1" applyFont="1" applyBorder="1">
      <alignment vertical="center"/>
    </xf>
    <xf numFmtId="183" fontId="0" fillId="0" borderId="54" xfId="0" applyNumberFormat="1" applyFont="1" applyBorder="1">
      <alignment vertical="center"/>
    </xf>
    <xf numFmtId="182" fontId="0" fillId="0" borderId="54" xfId="0" applyNumberFormat="1" applyFont="1" applyBorder="1" applyAlignment="1">
      <alignment vertical="center" shrinkToFit="1"/>
    </xf>
    <xf numFmtId="182" fontId="0" fillId="0" borderId="54" xfId="0" applyNumberFormat="1" applyFont="1" applyBorder="1">
      <alignment vertical="center"/>
    </xf>
    <xf numFmtId="178" fontId="0" fillId="0" borderId="54" xfId="0" applyNumberFormat="1" applyFont="1" applyBorder="1">
      <alignment vertical="center"/>
    </xf>
    <xf numFmtId="38" fontId="3" fillId="0" borderId="54" xfId="0" applyNumberFormat="1" applyFont="1" applyBorder="1">
      <alignment vertical="center"/>
    </xf>
    <xf numFmtId="0" fontId="0" fillId="0" borderId="54" xfId="0" applyFont="1" applyBorder="1" applyAlignment="1">
      <alignment horizontal="left" vertical="center"/>
    </xf>
    <xf numFmtId="0" fontId="0" fillId="0" borderId="54" xfId="0" applyFont="1" applyBorder="1" applyAlignment="1">
      <alignment horizontal="center" vertical="center"/>
    </xf>
    <xf numFmtId="0" fontId="0" fillId="0" borderId="59" xfId="0" applyFont="1" applyBorder="1">
      <alignment vertical="center"/>
    </xf>
    <xf numFmtId="0" fontId="0" fillId="0" borderId="58" xfId="0" applyFont="1" applyBorder="1" applyAlignment="1">
      <alignment horizontal="left" vertical="center"/>
    </xf>
    <xf numFmtId="0" fontId="0" fillId="0" borderId="58" xfId="0" applyFont="1" applyBorder="1" applyAlignment="1">
      <alignment horizontal="center" vertical="center"/>
    </xf>
    <xf numFmtId="3" fontId="0" fillId="0" borderId="58" xfId="0" applyNumberFormat="1" applyFont="1" applyBorder="1">
      <alignment vertical="center"/>
    </xf>
    <xf numFmtId="183" fontId="0" fillId="0" borderId="58" xfId="0" applyNumberFormat="1" applyFont="1" applyBorder="1">
      <alignment vertical="center"/>
    </xf>
    <xf numFmtId="182" fontId="0" fillId="0" borderId="58" xfId="0" applyNumberFormat="1" applyFont="1" applyBorder="1" applyAlignment="1">
      <alignment vertical="center" shrinkToFit="1"/>
    </xf>
    <xf numFmtId="182" fontId="0" fillId="0" borderId="58" xfId="0" applyNumberFormat="1" applyFont="1" applyBorder="1">
      <alignment vertical="center"/>
    </xf>
    <xf numFmtId="178" fontId="0" fillId="0" borderId="58" xfId="0" applyNumberFormat="1" applyFont="1" applyBorder="1">
      <alignment vertical="center"/>
    </xf>
    <xf numFmtId="38" fontId="3" fillId="0" borderId="58" xfId="0" applyNumberFormat="1" applyFont="1" applyBorder="1">
      <alignment vertical="center"/>
    </xf>
    <xf numFmtId="0" fontId="0" fillId="0" borderId="57" xfId="0" applyFont="1" applyBorder="1" applyAlignment="1">
      <alignment horizontal="left" vertical="center"/>
    </xf>
    <xf numFmtId="0" fontId="0" fillId="0" borderId="57" xfId="0" applyFont="1" applyBorder="1" applyAlignment="1">
      <alignment horizontal="center" vertical="center"/>
    </xf>
    <xf numFmtId="3" fontId="0" fillId="0" borderId="57" xfId="0" applyNumberFormat="1" applyFont="1" applyBorder="1">
      <alignment vertical="center"/>
    </xf>
    <xf numFmtId="183" fontId="0" fillId="0" borderId="57" xfId="0" applyNumberFormat="1" applyFont="1" applyBorder="1">
      <alignment vertical="center"/>
    </xf>
    <xf numFmtId="182" fontId="0" fillId="0" borderId="57" xfId="0" applyNumberFormat="1" applyFont="1" applyBorder="1" applyAlignment="1">
      <alignment vertical="center" shrinkToFit="1"/>
    </xf>
    <xf numFmtId="182" fontId="0" fillId="0" borderId="57" xfId="0" applyNumberFormat="1" applyFont="1" applyBorder="1">
      <alignment vertical="center"/>
    </xf>
    <xf numFmtId="178" fontId="0" fillId="0" borderId="57" xfId="0" applyNumberFormat="1" applyFont="1" applyBorder="1">
      <alignment vertical="center"/>
    </xf>
    <xf numFmtId="38" fontId="3" fillId="0" borderId="57" xfId="0" applyNumberFormat="1" applyFont="1" applyBorder="1">
      <alignment vertical="center"/>
    </xf>
    <xf numFmtId="183" fontId="0" fillId="0" borderId="54" xfId="0" applyNumberFormat="1" applyFont="1" applyFill="1" applyBorder="1">
      <alignment vertical="center"/>
    </xf>
    <xf numFmtId="49" fontId="0" fillId="0" borderId="53" xfId="0" applyNumberFormat="1" applyFont="1" applyBorder="1" applyAlignment="1">
      <alignment horizontal="left" vertical="center"/>
    </xf>
    <xf numFmtId="0" fontId="0" fillId="0" borderId="53" xfId="0" applyFont="1" applyBorder="1" applyAlignment="1">
      <alignment horizontal="left" vertical="center"/>
    </xf>
    <xf numFmtId="183" fontId="0" fillId="0" borderId="58" xfId="0" applyNumberFormat="1" applyFont="1" applyFill="1" applyBorder="1">
      <alignment vertical="center"/>
    </xf>
    <xf numFmtId="0" fontId="0" fillId="0" borderId="60" xfId="0" applyFont="1" applyBorder="1">
      <alignment vertical="center"/>
    </xf>
    <xf numFmtId="183" fontId="0" fillId="0" borderId="57" xfId="0" applyNumberFormat="1" applyFont="1" applyFill="1" applyBorder="1">
      <alignment vertical="center"/>
    </xf>
    <xf numFmtId="0" fontId="0" fillId="0" borderId="54" xfId="0" applyFont="1" applyBorder="1">
      <alignment vertical="center"/>
    </xf>
    <xf numFmtId="0" fontId="0" fillId="0" borderId="55" xfId="0" applyFont="1" applyBorder="1">
      <alignment vertical="center"/>
    </xf>
    <xf numFmtId="0" fontId="0" fillId="0" borderId="56" xfId="0" applyFont="1" applyBorder="1">
      <alignment vertical="center"/>
    </xf>
    <xf numFmtId="0" fontId="0" fillId="0" borderId="56" xfId="0" applyFont="1" applyBorder="1" applyAlignment="1">
      <alignment horizontal="center" vertical="center"/>
    </xf>
    <xf numFmtId="3" fontId="0" fillId="0" borderId="56" xfId="0" applyNumberFormat="1" applyFont="1" applyBorder="1">
      <alignment vertical="center"/>
    </xf>
    <xf numFmtId="183" fontId="0" fillId="0" borderId="56" xfId="0" applyNumberFormat="1" applyFont="1" applyBorder="1">
      <alignment vertical="center"/>
    </xf>
    <xf numFmtId="182" fontId="0" fillId="0" borderId="56" xfId="0" applyNumberFormat="1" applyFont="1" applyBorder="1">
      <alignment vertical="center"/>
    </xf>
    <xf numFmtId="178" fontId="0" fillId="0" borderId="56" xfId="0" applyNumberFormat="1" applyFont="1" applyBorder="1">
      <alignment vertical="center"/>
    </xf>
    <xf numFmtId="38" fontId="3" fillId="0" borderId="56" xfId="0" applyNumberFormat="1" applyFont="1" applyBorder="1">
      <alignment vertical="center"/>
    </xf>
    <xf numFmtId="40" fontId="0" fillId="0" borderId="58" xfId="0" applyNumberFormat="1" applyFont="1" applyBorder="1" applyAlignment="1">
      <alignment horizontal="left" vertical="center"/>
    </xf>
    <xf numFmtId="40" fontId="0" fillId="0" borderId="58" xfId="0" applyNumberFormat="1" applyFont="1" applyBorder="1" applyAlignment="1">
      <alignment horizontal="center" vertical="center"/>
    </xf>
    <xf numFmtId="180" fontId="1" fillId="0" borderId="44" xfId="1" applyNumberFormat="1" applyFont="1" applyBorder="1" applyAlignment="1">
      <alignment vertical="center" shrinkToFit="1"/>
    </xf>
    <xf numFmtId="0" fontId="0" fillId="0" borderId="60" xfId="0" applyFont="1" applyBorder="1" applyAlignment="1">
      <alignment horizontal="left" vertical="center"/>
    </xf>
    <xf numFmtId="0" fontId="0" fillId="0" borderId="57" xfId="0" applyFont="1" applyBorder="1">
      <alignment vertical="center"/>
    </xf>
    <xf numFmtId="0" fontId="0" fillId="0" borderId="58" xfId="0" applyFont="1" applyBorder="1">
      <alignment vertical="center"/>
    </xf>
    <xf numFmtId="0" fontId="0" fillId="5" borderId="3" xfId="0" applyFill="1" applyBorder="1" applyAlignment="1">
      <alignment horizontal="center" shrinkToFit="1"/>
    </xf>
    <xf numFmtId="0" fontId="0" fillId="5" borderId="6" xfId="0" applyFill="1" applyBorder="1" applyAlignment="1">
      <alignment horizontal="center" shrinkToFit="1"/>
    </xf>
    <xf numFmtId="0" fontId="0" fillId="5" borderId="4" xfId="0" applyFill="1" applyBorder="1" applyAlignment="1">
      <alignment horizontal="center" shrinkToFit="1"/>
    </xf>
    <xf numFmtId="0" fontId="0" fillId="5" borderId="7" xfId="0" applyFill="1" applyBorder="1" applyAlignment="1">
      <alignment horizontal="center" shrinkToFit="1"/>
    </xf>
    <xf numFmtId="0" fontId="3" fillId="2" borderId="1" xfId="0" applyFont="1" applyFill="1" applyBorder="1" applyAlignment="1">
      <alignment horizontal="center" vertical="center"/>
    </xf>
    <xf numFmtId="177" fontId="0" fillId="0" borderId="9" xfId="0" applyNumberFormat="1" applyBorder="1" applyAlignment="1">
      <alignment horizontal="right" vertical="center"/>
    </xf>
    <xf numFmtId="0" fontId="0" fillId="5" borderId="3" xfId="0" applyFill="1" applyBorder="1" applyAlignment="1">
      <alignment horizontal="center" shrinkToFit="1"/>
    </xf>
    <xf numFmtId="0" fontId="0" fillId="5" borderId="6" xfId="0" applyFill="1" applyBorder="1" applyAlignment="1">
      <alignment horizontal="center" shrinkToFit="1"/>
    </xf>
    <xf numFmtId="0" fontId="0" fillId="5" borderId="4" xfId="0" applyFill="1" applyBorder="1" applyAlignment="1">
      <alignment horizontal="center" shrinkToFit="1"/>
    </xf>
    <xf numFmtId="0" fontId="0" fillId="5" borderId="7" xfId="0" applyFill="1" applyBorder="1" applyAlignment="1">
      <alignment horizontal="center" shrinkToFit="1"/>
    </xf>
    <xf numFmtId="0" fontId="0" fillId="5" borderId="33" xfId="0" applyFill="1" applyBorder="1" applyAlignment="1">
      <alignment horizontal="center" shrinkToFit="1"/>
    </xf>
    <xf numFmtId="0" fontId="3" fillId="5" borderId="33" xfId="0" applyFont="1" applyFill="1" applyBorder="1" applyAlignment="1">
      <alignment horizontal="center" shrinkToFit="1"/>
    </xf>
    <xf numFmtId="0" fontId="1" fillId="5" borderId="4" xfId="0" applyFont="1" applyFill="1" applyBorder="1" applyAlignment="1">
      <alignment horizontal="center" shrinkToFit="1"/>
    </xf>
    <xf numFmtId="0" fontId="1" fillId="5" borderId="7" xfId="0" applyFont="1" applyFill="1" applyBorder="1" applyAlignment="1">
      <alignment horizontal="center" shrinkToFit="1"/>
    </xf>
    <xf numFmtId="0" fontId="9" fillId="0" borderId="9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8" fontId="1" fillId="2" borderId="34" xfId="2" applyFont="1" applyFill="1" applyBorder="1" applyAlignment="1">
      <alignment horizontal="center" vertical="center"/>
    </xf>
    <xf numFmtId="38" fontId="1" fillId="2" borderId="10" xfId="2" applyFont="1" applyFill="1" applyBorder="1" applyAlignment="1">
      <alignment horizontal="center" vertical="center"/>
    </xf>
    <xf numFmtId="38" fontId="0" fillId="2" borderId="1" xfId="2" applyFont="1" applyFill="1" applyBorder="1" applyAlignment="1">
      <alignment horizontal="center" vertical="center"/>
    </xf>
    <xf numFmtId="38" fontId="1" fillId="2" borderId="1" xfId="2" applyFont="1" applyFill="1" applyBorder="1" applyAlignment="1">
      <alignment horizontal="center" vertical="center"/>
    </xf>
    <xf numFmtId="38" fontId="1" fillId="2" borderId="2" xfId="2" applyFont="1" applyFill="1" applyBorder="1" applyAlignment="1">
      <alignment horizontal="center" vertical="center"/>
    </xf>
    <xf numFmtId="38" fontId="1" fillId="2" borderId="35" xfId="2" applyFont="1" applyFill="1" applyBorder="1" applyAlignment="1">
      <alignment horizontal="center" vertical="center"/>
    </xf>
    <xf numFmtId="38" fontId="1" fillId="2" borderId="36" xfId="2" applyFont="1" applyFill="1" applyBorder="1" applyAlignment="1">
      <alignment horizontal="center" vertical="center"/>
    </xf>
    <xf numFmtId="0" fontId="0" fillId="0" borderId="59" xfId="0" applyFont="1" applyBorder="1" applyAlignment="1">
      <alignment horizontal="left" vertical="center"/>
    </xf>
  </cellXfs>
  <cellStyles count="6">
    <cellStyle name="パーセント" xfId="1" builtinId="5"/>
    <cellStyle name="桁区切り" xfId="2" builtinId="6"/>
    <cellStyle name="桁区切り 2" xfId="5" xr:uid="{00000000-0005-0000-0000-000002000000}"/>
    <cellStyle name="標準" xfId="0" builtinId="0"/>
    <cellStyle name="標準 2" xfId="3" xr:uid="{00000000-0005-0000-0000-000004000000}"/>
    <cellStyle name="標準 3" xfId="4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6" dropStyle="combo" dx="16" fmlaLink="$O$2" fmlaRange="$R$3:$R$8" noThreeD="1" sel="6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7" dropStyle="combo" dx="16" fmlaLink="$AD$1" fmlaRange="$AF$2:$AF$8" noThreeD="1" sel="2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10" dropStyle="combo" dx="16" fmlaLink="$AG$1" fmlaRange="$AI$2:$AI$22" noThreeD="1" sel="0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Lines="7" dropStyle="combo" dx="16" fmlaLink="$AD$1" fmlaRange="$AF$2:$AF$8" noThreeD="1" sel="2" val="0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Drop" dropLines="10" dropStyle="combo" dx="16" fmlaLink="$AG$1" fmlaRange="$AI$2:$AI$22" noThreeD="1" sel="0" val="0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Drop" dropLines="6" dropStyle="combo" dx="16" fmlaLink="$Q$1" fmlaRange="$T$2:$T$7" noThreeD="1" sel="3" val="0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25</xdr:row>
          <xdr:rowOff>104775</xdr:rowOff>
        </xdr:from>
        <xdr:to>
          <xdr:col>3</xdr:col>
          <xdr:colOff>476250</xdr:colOff>
          <xdr:row>28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8080"/>
                  </a:solidFill>
                  <a:latin typeface="ＭＳ Ｐゴシック"/>
                  <a:ea typeface="ＭＳ Ｐゴシック"/>
                </a:rPr>
                <a:t>社員マスタ保守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25</xdr:row>
          <xdr:rowOff>95250</xdr:rowOff>
        </xdr:from>
        <xdr:to>
          <xdr:col>5</xdr:col>
          <xdr:colOff>581025</xdr:colOff>
          <xdr:row>28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6600"/>
                  </a:solidFill>
                  <a:latin typeface="ＭＳ Ｐゴシック"/>
                  <a:ea typeface="ＭＳ Ｐゴシック"/>
                </a:rPr>
                <a:t>データ保守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29</xdr:row>
          <xdr:rowOff>142875</xdr:rowOff>
        </xdr:from>
        <xdr:to>
          <xdr:col>5</xdr:col>
          <xdr:colOff>561975</xdr:colOff>
          <xdr:row>32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28575</xdr:rowOff>
        </xdr:from>
        <xdr:to>
          <xdr:col>2</xdr:col>
          <xdr:colOff>800100</xdr:colOff>
          <xdr:row>0</xdr:row>
          <xdr:rowOff>171450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923925</xdr:colOff>
          <xdr:row>0</xdr:row>
          <xdr:rowOff>9525</xdr:rowOff>
        </xdr:from>
        <xdr:to>
          <xdr:col>5</xdr:col>
          <xdr:colOff>28575</xdr:colOff>
          <xdr:row>0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339966"/>
                  </a:solidFill>
                  <a:latin typeface="ＭＳ Ｐゴシック"/>
                  <a:ea typeface="ＭＳ Ｐゴシック"/>
                </a:rPr>
                <a:t>マスタ読込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9525</xdr:rowOff>
        </xdr:from>
        <xdr:to>
          <xdr:col>6</xdr:col>
          <xdr:colOff>257175</xdr:colOff>
          <xdr:row>0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FF"/>
                  </a:solidFill>
                  <a:latin typeface="ＭＳ Ｐゴシック"/>
                  <a:ea typeface="ＭＳ Ｐゴシック"/>
                </a:rPr>
                <a:t>マスタ登録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581025</xdr:colOff>
          <xdr:row>0</xdr:row>
          <xdr:rowOff>0</xdr:rowOff>
        </xdr:from>
        <xdr:to>
          <xdr:col>10</xdr:col>
          <xdr:colOff>504825</xdr:colOff>
          <xdr:row>0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85725</xdr:colOff>
          <xdr:row>2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85725</xdr:colOff>
          <xdr:row>1</xdr:row>
          <xdr:rowOff>9525</xdr:rowOff>
        </xdr:from>
        <xdr:to>
          <xdr:col>14</xdr:col>
          <xdr:colOff>390525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0</xdr:rowOff>
        </xdr:from>
        <xdr:to>
          <xdr:col>7</xdr:col>
          <xdr:colOff>142875</xdr:colOff>
          <xdr:row>2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238125</xdr:colOff>
          <xdr:row>1</xdr:row>
          <xdr:rowOff>0</xdr:rowOff>
        </xdr:from>
        <xdr:to>
          <xdr:col>2</xdr:col>
          <xdr:colOff>1047750</xdr:colOff>
          <xdr:row>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データ登録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1257300</xdr:colOff>
          <xdr:row>1</xdr:row>
          <xdr:rowOff>0</xdr:rowOff>
        </xdr:from>
        <xdr:to>
          <xdr:col>4</xdr:col>
          <xdr:colOff>333375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データ読込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1</xdr:row>
          <xdr:rowOff>9525</xdr:rowOff>
        </xdr:from>
        <xdr:to>
          <xdr:col>10</xdr:col>
          <xdr:colOff>295275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57150</xdr:colOff>
          <xdr:row>1</xdr:row>
          <xdr:rowOff>9525</xdr:rowOff>
        </xdr:from>
        <xdr:to>
          <xdr:col>13</xdr:col>
          <xdr:colOff>19050</xdr:colOff>
          <xdr:row>2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</xdr:row>
          <xdr:rowOff>9525</xdr:rowOff>
        </xdr:from>
        <xdr:to>
          <xdr:col>17</xdr:col>
          <xdr:colOff>161925</xdr:colOff>
          <xdr:row>2</xdr:row>
          <xdr:rowOff>47625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1</xdr:row>
          <xdr:rowOff>9525</xdr:rowOff>
        </xdr:from>
        <xdr:to>
          <xdr:col>16</xdr:col>
          <xdr:colOff>85725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8080"/>
                  </a:solidFill>
                  <a:latin typeface="ＭＳ Ｐゴシック"/>
                  <a:ea typeface="ＭＳ Ｐゴシック"/>
                </a:rPr>
                <a:t>個別印刷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9525</xdr:rowOff>
        </xdr:from>
        <xdr:to>
          <xdr:col>11</xdr:col>
          <xdr:colOff>819150</xdr:colOff>
          <xdr:row>2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85725</xdr:colOff>
          <xdr:row>2</xdr:row>
          <xdr:rowOff>0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85725</xdr:colOff>
          <xdr:row>1</xdr:row>
          <xdr:rowOff>9525</xdr:rowOff>
        </xdr:from>
        <xdr:to>
          <xdr:col>14</xdr:col>
          <xdr:colOff>390525</xdr:colOff>
          <xdr:row>2</xdr:row>
          <xdr:rowOff>47625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0</xdr:rowOff>
        </xdr:from>
        <xdr:to>
          <xdr:col>7</xdr:col>
          <xdr:colOff>142875</xdr:colOff>
          <xdr:row>2</xdr:row>
          <xdr:rowOff>0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238125</xdr:colOff>
          <xdr:row>1</xdr:row>
          <xdr:rowOff>0</xdr:rowOff>
        </xdr:from>
        <xdr:to>
          <xdr:col>2</xdr:col>
          <xdr:colOff>1047750</xdr:colOff>
          <xdr:row>2</xdr:row>
          <xdr:rowOff>38100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データ登録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1257300</xdr:colOff>
          <xdr:row>1</xdr:row>
          <xdr:rowOff>0</xdr:rowOff>
        </xdr:from>
        <xdr:to>
          <xdr:col>4</xdr:col>
          <xdr:colOff>333375</xdr:colOff>
          <xdr:row>2</xdr:row>
          <xdr:rowOff>38100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3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データ読込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1</xdr:row>
          <xdr:rowOff>9525</xdr:rowOff>
        </xdr:from>
        <xdr:to>
          <xdr:col>10</xdr:col>
          <xdr:colOff>295275</xdr:colOff>
          <xdr:row>2</xdr:row>
          <xdr:rowOff>47625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3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57150</xdr:colOff>
          <xdr:row>1</xdr:row>
          <xdr:rowOff>9525</xdr:rowOff>
        </xdr:from>
        <xdr:to>
          <xdr:col>13</xdr:col>
          <xdr:colOff>19050</xdr:colOff>
          <xdr:row>2</xdr:row>
          <xdr:rowOff>47625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3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</xdr:row>
          <xdr:rowOff>9525</xdr:rowOff>
        </xdr:from>
        <xdr:to>
          <xdr:col>17</xdr:col>
          <xdr:colOff>161925</xdr:colOff>
          <xdr:row>2</xdr:row>
          <xdr:rowOff>47625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3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1</xdr:row>
          <xdr:rowOff>9525</xdr:rowOff>
        </xdr:from>
        <xdr:to>
          <xdr:col>16</xdr:col>
          <xdr:colOff>85725</xdr:colOff>
          <xdr:row>2</xdr:row>
          <xdr:rowOff>47625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3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8080"/>
                  </a:solidFill>
                  <a:latin typeface="ＭＳ Ｐゴシック"/>
                  <a:ea typeface="ＭＳ Ｐゴシック"/>
                </a:rPr>
                <a:t>個別印刷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9525</xdr:rowOff>
        </xdr:from>
        <xdr:to>
          <xdr:col>11</xdr:col>
          <xdr:colOff>819150</xdr:colOff>
          <xdr:row>2</xdr:row>
          <xdr:rowOff>47625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3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9525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0</xdr:row>
          <xdr:rowOff>47625</xdr:rowOff>
        </xdr:from>
        <xdr:to>
          <xdr:col>5</xdr:col>
          <xdr:colOff>123825</xdr:colOff>
          <xdr:row>1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339966"/>
                  </a:solidFill>
                  <a:latin typeface="ＭＳ Ｐゴシック"/>
                  <a:ea typeface="ＭＳ Ｐゴシック"/>
                </a:rPr>
                <a:t>データ読込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0</xdr:row>
          <xdr:rowOff>0</xdr:rowOff>
        </xdr:from>
        <xdr:to>
          <xdr:col>12</xdr:col>
          <xdr:colOff>685800</xdr:colOff>
          <xdr:row>1</xdr:row>
          <xdr:rowOff>38100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6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7"/>
    <pageSetUpPr fitToPage="1"/>
  </sheetPr>
  <dimension ref="B2:P51"/>
  <sheetViews>
    <sheetView showGridLines="0" showRowColHeaders="0" zoomScaleNormal="100" workbookViewId="0">
      <selection activeCell="G29" sqref="G29"/>
    </sheetView>
  </sheetViews>
  <sheetFormatPr defaultRowHeight="13.5" x14ac:dyDescent="0.15"/>
  <cols>
    <col min="3" max="3" width="10" bestFit="1" customWidth="1"/>
  </cols>
  <sheetData>
    <row r="2" spans="2:16" ht="17.25" x14ac:dyDescent="0.15">
      <c r="B2" s="19" t="s">
        <v>88</v>
      </c>
      <c r="E2" s="25">
        <v>2022</v>
      </c>
      <c r="F2" t="s">
        <v>95</v>
      </c>
      <c r="G2" s="25">
        <v>7</v>
      </c>
      <c r="H2" t="s">
        <v>96</v>
      </c>
    </row>
    <row r="3" spans="2:16" ht="17.25" x14ac:dyDescent="0.15">
      <c r="B3" s="19"/>
    </row>
    <row r="4" spans="2:16" ht="17.25" x14ac:dyDescent="0.15">
      <c r="B4" s="19"/>
    </row>
    <row r="5" spans="2:16" x14ac:dyDescent="0.15">
      <c r="C5" s="21" t="s">
        <v>89</v>
      </c>
      <c r="K5" t="s">
        <v>121</v>
      </c>
      <c r="L5" s="87" t="s">
        <v>151</v>
      </c>
    </row>
    <row r="6" spans="2:16" x14ac:dyDescent="0.15">
      <c r="C6" s="20" t="s">
        <v>5</v>
      </c>
      <c r="D6" s="14" t="s">
        <v>12</v>
      </c>
      <c r="E6" s="14" t="s">
        <v>13</v>
      </c>
      <c r="F6" s="14" t="s">
        <v>14</v>
      </c>
      <c r="G6" s="14" t="s">
        <v>15</v>
      </c>
      <c r="H6" s="14" t="s">
        <v>16</v>
      </c>
      <c r="K6" s="20" t="s">
        <v>5</v>
      </c>
      <c r="L6" s="14" t="s">
        <v>12</v>
      </c>
      <c r="M6" s="14" t="s">
        <v>13</v>
      </c>
      <c r="N6" s="14" t="s">
        <v>14</v>
      </c>
      <c r="O6" s="14" t="s">
        <v>15</v>
      </c>
      <c r="P6" s="14" t="s">
        <v>16</v>
      </c>
    </row>
    <row r="7" spans="2:16" x14ac:dyDescent="0.15">
      <c r="C7" s="20" t="s">
        <v>141</v>
      </c>
      <c r="D7" s="31">
        <v>1.6</v>
      </c>
      <c r="E7" s="31">
        <v>1.5</v>
      </c>
      <c r="F7" s="31">
        <v>1.6</v>
      </c>
      <c r="G7" s="31">
        <v>1.7</v>
      </c>
      <c r="H7" s="31">
        <v>1.5</v>
      </c>
      <c r="K7" s="20" t="s">
        <v>141</v>
      </c>
      <c r="L7" s="31">
        <v>1.8</v>
      </c>
      <c r="M7" s="31">
        <v>1.7</v>
      </c>
      <c r="N7" s="31">
        <v>1.8</v>
      </c>
      <c r="O7" s="31">
        <v>1.8</v>
      </c>
      <c r="P7" s="31">
        <v>1.7</v>
      </c>
    </row>
    <row r="8" spans="2:16" x14ac:dyDescent="0.15">
      <c r="C8" s="20" t="s">
        <v>138</v>
      </c>
      <c r="D8" s="31">
        <v>1.6</v>
      </c>
      <c r="E8" s="31">
        <v>1.5</v>
      </c>
      <c r="F8" s="31">
        <v>1.6</v>
      </c>
      <c r="G8" s="31">
        <v>1.7</v>
      </c>
      <c r="H8" s="31">
        <v>1.5</v>
      </c>
      <c r="K8" s="20" t="s">
        <v>138</v>
      </c>
      <c r="L8" s="31">
        <v>1.8</v>
      </c>
      <c r="M8" s="31">
        <v>1.7</v>
      </c>
      <c r="N8" s="31">
        <v>1.8</v>
      </c>
      <c r="O8" s="31">
        <v>1.8</v>
      </c>
      <c r="P8" s="31">
        <v>1.7</v>
      </c>
    </row>
    <row r="9" spans="2:16" x14ac:dyDescent="0.15">
      <c r="C9" s="20" t="s">
        <v>139</v>
      </c>
      <c r="D9" s="31">
        <v>1.6</v>
      </c>
      <c r="E9" s="31">
        <v>1.5</v>
      </c>
      <c r="F9" s="31">
        <v>1.6</v>
      </c>
      <c r="G9" s="31">
        <v>1.7</v>
      </c>
      <c r="H9" s="31">
        <v>1.5</v>
      </c>
      <c r="K9" s="20" t="s">
        <v>139</v>
      </c>
      <c r="L9" s="31">
        <v>1.8</v>
      </c>
      <c r="M9" s="31">
        <v>1.7</v>
      </c>
      <c r="N9" s="31">
        <v>1.8</v>
      </c>
      <c r="O9" s="31">
        <v>1.8</v>
      </c>
      <c r="P9" s="31">
        <v>1.7</v>
      </c>
    </row>
    <row r="10" spans="2:16" x14ac:dyDescent="0.15">
      <c r="C10" s="20" t="s">
        <v>17</v>
      </c>
      <c r="D10" s="31">
        <v>1.6</v>
      </c>
      <c r="E10" s="31">
        <v>1.5</v>
      </c>
      <c r="F10" s="31">
        <v>1.6</v>
      </c>
      <c r="G10" s="31">
        <v>1.7</v>
      </c>
      <c r="H10" s="31">
        <v>1.5</v>
      </c>
      <c r="K10" s="20" t="s">
        <v>17</v>
      </c>
      <c r="L10" s="31">
        <v>1.8</v>
      </c>
      <c r="M10" s="31">
        <v>1.7</v>
      </c>
      <c r="N10" s="31">
        <v>1.8</v>
      </c>
      <c r="O10" s="31">
        <v>1.8</v>
      </c>
      <c r="P10" s="31">
        <v>1.7</v>
      </c>
    </row>
    <row r="11" spans="2:16" x14ac:dyDescent="0.15">
      <c r="C11" s="20" t="s">
        <v>18</v>
      </c>
      <c r="D11" s="31">
        <v>0.2</v>
      </c>
      <c r="E11" s="31">
        <v>0.2</v>
      </c>
      <c r="F11" s="31">
        <v>0.2</v>
      </c>
      <c r="G11" s="31">
        <v>0.2</v>
      </c>
      <c r="H11" s="31">
        <v>0.2</v>
      </c>
      <c r="K11" s="20" t="s">
        <v>18</v>
      </c>
      <c r="L11" s="31">
        <v>0.2</v>
      </c>
      <c r="M11" s="31">
        <v>0.2</v>
      </c>
      <c r="N11" s="31">
        <v>0.2</v>
      </c>
      <c r="O11" s="31">
        <v>0.2</v>
      </c>
      <c r="P11" s="31">
        <v>0.2</v>
      </c>
    </row>
    <row r="12" spans="2:16" x14ac:dyDescent="0.15">
      <c r="C12" s="20" t="s">
        <v>19</v>
      </c>
      <c r="D12" s="31">
        <v>0.2</v>
      </c>
      <c r="E12" s="31">
        <v>0.2</v>
      </c>
      <c r="F12" s="31">
        <v>0.2</v>
      </c>
      <c r="G12" s="31">
        <v>0.2</v>
      </c>
      <c r="H12" s="31">
        <v>0.2</v>
      </c>
      <c r="K12" s="20" t="s">
        <v>19</v>
      </c>
      <c r="L12" s="31">
        <v>0.2</v>
      </c>
      <c r="M12" s="31">
        <v>0.2</v>
      </c>
      <c r="N12" s="31">
        <v>0.2</v>
      </c>
      <c r="O12" s="31">
        <v>0.2</v>
      </c>
      <c r="P12" s="31">
        <v>0.2</v>
      </c>
    </row>
    <row r="13" spans="2:16" x14ac:dyDescent="0.15">
      <c r="C13" s="20" t="s">
        <v>20</v>
      </c>
      <c r="D13" s="31">
        <v>0.5</v>
      </c>
      <c r="E13" s="31">
        <v>0.5</v>
      </c>
      <c r="F13" s="31">
        <v>0.5</v>
      </c>
      <c r="G13" s="31">
        <v>0.5</v>
      </c>
      <c r="H13" s="31">
        <v>0.7</v>
      </c>
      <c r="K13" s="20" t="s">
        <v>20</v>
      </c>
      <c r="L13" s="31">
        <v>0.5</v>
      </c>
      <c r="M13" s="31">
        <v>0.5</v>
      </c>
      <c r="N13" s="31">
        <v>0.5</v>
      </c>
      <c r="O13" s="31">
        <v>0.5</v>
      </c>
      <c r="P13" s="31">
        <v>0.7</v>
      </c>
    </row>
    <row r="14" spans="2:16" x14ac:dyDescent="0.15">
      <c r="D14" s="44"/>
      <c r="E14" s="44"/>
      <c r="F14" s="44"/>
      <c r="G14" s="44"/>
      <c r="H14" s="44"/>
      <c r="K14" s="43"/>
      <c r="L14" s="44"/>
      <c r="M14" s="44"/>
      <c r="N14" s="44"/>
      <c r="O14" s="44"/>
      <c r="P14" s="44"/>
    </row>
    <row r="15" spans="2:16" x14ac:dyDescent="0.15">
      <c r="K15" t="s">
        <v>140</v>
      </c>
      <c r="L15" s="87" t="s">
        <v>164</v>
      </c>
      <c r="M15" s="45"/>
      <c r="N15" s="45"/>
      <c r="O15" s="45"/>
      <c r="P15" s="45"/>
    </row>
    <row r="16" spans="2:16" x14ac:dyDescent="0.15">
      <c r="K16" s="20" t="s">
        <v>5</v>
      </c>
      <c r="L16" s="14" t="s">
        <v>12</v>
      </c>
      <c r="M16" s="14" t="s">
        <v>13</v>
      </c>
      <c r="N16" s="14" t="s">
        <v>14</v>
      </c>
      <c r="O16" s="14" t="s">
        <v>15</v>
      </c>
      <c r="P16" s="14" t="s">
        <v>16</v>
      </c>
    </row>
    <row r="17" spans="2:16" x14ac:dyDescent="0.15">
      <c r="B17" s="22" t="s">
        <v>85</v>
      </c>
      <c r="K17" s="20" t="s">
        <v>141</v>
      </c>
      <c r="L17" s="31">
        <v>1.6</v>
      </c>
      <c r="M17" s="31">
        <v>1.5</v>
      </c>
      <c r="N17" s="31">
        <v>1.6</v>
      </c>
      <c r="O17" s="31">
        <v>1.6</v>
      </c>
      <c r="P17" s="31">
        <v>1.5</v>
      </c>
    </row>
    <row r="18" spans="2:16" x14ac:dyDescent="0.15">
      <c r="K18" s="20" t="s">
        <v>138</v>
      </c>
      <c r="L18" s="31">
        <v>1.6</v>
      </c>
      <c r="M18" s="31">
        <v>1.5</v>
      </c>
      <c r="N18" s="31">
        <v>1.6</v>
      </c>
      <c r="O18" s="31">
        <v>1.6</v>
      </c>
      <c r="P18" s="31">
        <v>1.5</v>
      </c>
    </row>
    <row r="19" spans="2:16" x14ac:dyDescent="0.15">
      <c r="B19" s="22" t="s">
        <v>86</v>
      </c>
      <c r="K19" s="20" t="s">
        <v>139</v>
      </c>
      <c r="L19" s="31">
        <v>1.6</v>
      </c>
      <c r="M19" s="31">
        <v>1.5</v>
      </c>
      <c r="N19" s="31">
        <v>1.6</v>
      </c>
      <c r="O19" s="31">
        <v>1.6</v>
      </c>
      <c r="P19" s="31">
        <v>1.5</v>
      </c>
    </row>
    <row r="20" spans="2:16" x14ac:dyDescent="0.15">
      <c r="K20" s="20" t="s">
        <v>17</v>
      </c>
      <c r="L20" s="31">
        <v>1.6</v>
      </c>
      <c r="M20" s="31">
        <v>1.5</v>
      </c>
      <c r="N20" s="31">
        <v>1.6</v>
      </c>
      <c r="O20" s="31">
        <v>1.6</v>
      </c>
      <c r="P20" s="31">
        <v>1.5</v>
      </c>
    </row>
    <row r="21" spans="2:16" x14ac:dyDescent="0.15">
      <c r="B21" s="22" t="s">
        <v>87</v>
      </c>
      <c r="K21" s="20" t="s">
        <v>18</v>
      </c>
      <c r="L21" s="31">
        <v>0.2</v>
      </c>
      <c r="M21" s="31">
        <v>0.2</v>
      </c>
      <c r="N21" s="31">
        <v>0.2</v>
      </c>
      <c r="O21" s="31">
        <v>0.2</v>
      </c>
      <c r="P21" s="31">
        <v>0.2</v>
      </c>
    </row>
    <row r="22" spans="2:16" x14ac:dyDescent="0.15">
      <c r="K22" s="20" t="s">
        <v>19</v>
      </c>
      <c r="L22" s="31">
        <v>0.2</v>
      </c>
      <c r="M22" s="31">
        <v>0.2</v>
      </c>
      <c r="N22" s="31">
        <v>0.2</v>
      </c>
      <c r="O22" s="31">
        <v>0.2</v>
      </c>
      <c r="P22" s="31">
        <v>0.2</v>
      </c>
    </row>
    <row r="23" spans="2:16" x14ac:dyDescent="0.15">
      <c r="B23" s="22" t="s">
        <v>98</v>
      </c>
      <c r="K23" s="20" t="s">
        <v>20</v>
      </c>
      <c r="L23" s="31">
        <v>0.5</v>
      </c>
      <c r="M23" s="31">
        <v>0.5</v>
      </c>
      <c r="N23" s="31">
        <v>0.5</v>
      </c>
      <c r="O23" s="31">
        <v>0.5</v>
      </c>
      <c r="P23" s="31">
        <v>0.7</v>
      </c>
    </row>
    <row r="24" spans="2:16" x14ac:dyDescent="0.15">
      <c r="K24" s="43"/>
      <c r="L24" s="45"/>
      <c r="M24" s="45"/>
      <c r="N24" s="45"/>
      <c r="O24" s="45"/>
      <c r="P24" s="45"/>
    </row>
    <row r="25" spans="2:16" x14ac:dyDescent="0.15">
      <c r="K25" t="s">
        <v>142</v>
      </c>
      <c r="L25" s="87" t="s">
        <v>165</v>
      </c>
    </row>
    <row r="26" spans="2:16" x14ac:dyDescent="0.15">
      <c r="K26" s="20" t="s">
        <v>5</v>
      </c>
      <c r="L26" s="14" t="s">
        <v>12</v>
      </c>
      <c r="M26" s="14" t="s">
        <v>13</v>
      </c>
      <c r="N26" s="14" t="s">
        <v>14</v>
      </c>
      <c r="O26" s="14" t="s">
        <v>15</v>
      </c>
      <c r="P26" s="14" t="s">
        <v>16</v>
      </c>
    </row>
    <row r="27" spans="2:16" x14ac:dyDescent="0.15">
      <c r="K27" s="20" t="s">
        <v>141</v>
      </c>
      <c r="L27" s="31">
        <v>1.7</v>
      </c>
      <c r="M27" s="31">
        <v>1.6</v>
      </c>
      <c r="N27" s="31">
        <v>1.7</v>
      </c>
      <c r="O27" s="31">
        <v>1.7</v>
      </c>
      <c r="P27" s="31">
        <v>1.6</v>
      </c>
    </row>
    <row r="28" spans="2:16" x14ac:dyDescent="0.15">
      <c r="K28" s="20" t="s">
        <v>138</v>
      </c>
      <c r="L28" s="31">
        <v>1.7</v>
      </c>
      <c r="M28" s="31">
        <v>1.6</v>
      </c>
      <c r="N28" s="31">
        <v>1.7</v>
      </c>
      <c r="O28" s="31">
        <v>1.7</v>
      </c>
      <c r="P28" s="31">
        <v>1.6</v>
      </c>
    </row>
    <row r="29" spans="2:16" x14ac:dyDescent="0.15">
      <c r="K29" s="20" t="s">
        <v>139</v>
      </c>
      <c r="L29" s="31">
        <v>1.7</v>
      </c>
      <c r="M29" s="31">
        <v>1.6</v>
      </c>
      <c r="N29" s="31">
        <v>1.7</v>
      </c>
      <c r="O29" s="31">
        <v>1.7</v>
      </c>
      <c r="P29" s="31">
        <v>1.6</v>
      </c>
    </row>
    <row r="30" spans="2:16" x14ac:dyDescent="0.15">
      <c r="K30" s="20" t="s">
        <v>17</v>
      </c>
      <c r="L30" s="31">
        <v>1.7</v>
      </c>
      <c r="M30" s="31">
        <v>1.6</v>
      </c>
      <c r="N30" s="31">
        <v>1.7</v>
      </c>
      <c r="O30" s="31">
        <v>1.7</v>
      </c>
      <c r="P30" s="31">
        <v>1.6</v>
      </c>
    </row>
    <row r="31" spans="2:16" x14ac:dyDescent="0.15">
      <c r="K31" s="20" t="s">
        <v>18</v>
      </c>
      <c r="L31" s="31">
        <v>0.2</v>
      </c>
      <c r="M31" s="31">
        <v>0.2</v>
      </c>
      <c r="N31" s="31">
        <v>0.2</v>
      </c>
      <c r="O31" s="31">
        <v>0.2</v>
      </c>
      <c r="P31" s="31">
        <v>0.2</v>
      </c>
    </row>
    <row r="32" spans="2:16" x14ac:dyDescent="0.15">
      <c r="K32" s="20" t="s">
        <v>19</v>
      </c>
      <c r="L32" s="31">
        <v>0.2</v>
      </c>
      <c r="M32" s="31">
        <v>0.2</v>
      </c>
      <c r="N32" s="31">
        <v>0.2</v>
      </c>
      <c r="O32" s="31">
        <v>0.2</v>
      </c>
      <c r="P32" s="31">
        <v>0.2</v>
      </c>
    </row>
    <row r="33" spans="11:16" x14ac:dyDescent="0.15">
      <c r="K33" s="20" t="s">
        <v>20</v>
      </c>
      <c r="L33" s="31">
        <v>0.5</v>
      </c>
      <c r="M33" s="31">
        <v>0.5</v>
      </c>
      <c r="N33" s="31">
        <v>0.5</v>
      </c>
      <c r="O33" s="31">
        <v>0.5</v>
      </c>
      <c r="P33" s="31">
        <v>0.7</v>
      </c>
    </row>
    <row r="34" spans="11:16" x14ac:dyDescent="0.15">
      <c r="K34" s="43"/>
      <c r="L34" s="45"/>
      <c r="M34" s="45"/>
      <c r="N34" s="45"/>
      <c r="O34" s="45"/>
      <c r="P34" s="45"/>
    </row>
    <row r="35" spans="11:16" x14ac:dyDescent="0.15">
      <c r="K35" s="43"/>
      <c r="L35" s="45"/>
      <c r="M35" s="45"/>
      <c r="N35" s="45"/>
      <c r="O35" s="45"/>
      <c r="P35" s="45"/>
    </row>
    <row r="36" spans="11:16" x14ac:dyDescent="0.15">
      <c r="K36" s="43"/>
      <c r="L36" s="43"/>
      <c r="M36" s="43"/>
      <c r="N36" s="43"/>
      <c r="O36" s="43"/>
      <c r="P36" s="43"/>
    </row>
    <row r="37" spans="11:16" x14ac:dyDescent="0.15">
      <c r="K37" s="43"/>
      <c r="L37" s="43"/>
      <c r="M37" s="43"/>
      <c r="N37" s="43"/>
      <c r="O37" s="43"/>
      <c r="P37" s="43"/>
    </row>
    <row r="38" spans="11:16" x14ac:dyDescent="0.15">
      <c r="K38" s="43"/>
      <c r="L38" s="44"/>
      <c r="M38" s="44"/>
      <c r="N38" s="44"/>
      <c r="O38" s="44"/>
      <c r="P38" s="44"/>
    </row>
    <row r="39" spans="11:16" x14ac:dyDescent="0.15">
      <c r="K39" s="43"/>
      <c r="L39" s="45"/>
      <c r="M39" s="45"/>
      <c r="N39" s="45"/>
      <c r="O39" s="45"/>
      <c r="P39" s="45"/>
    </row>
    <row r="40" spans="11:16" x14ac:dyDescent="0.15">
      <c r="K40" s="43"/>
      <c r="L40" s="45"/>
      <c r="M40" s="45"/>
      <c r="N40" s="45"/>
      <c r="O40" s="45"/>
      <c r="P40" s="45"/>
    </row>
    <row r="41" spans="11:16" x14ac:dyDescent="0.15">
      <c r="K41" s="43"/>
      <c r="L41" s="45"/>
      <c r="M41" s="45"/>
      <c r="N41" s="45"/>
      <c r="O41" s="45"/>
      <c r="P41" s="45"/>
    </row>
    <row r="42" spans="11:16" x14ac:dyDescent="0.15">
      <c r="K42" s="43"/>
      <c r="L42" s="45"/>
      <c r="M42" s="45"/>
      <c r="N42" s="45"/>
      <c r="O42" s="45"/>
      <c r="P42" s="45"/>
    </row>
    <row r="43" spans="11:16" x14ac:dyDescent="0.15">
      <c r="K43" s="43"/>
      <c r="L43" s="45"/>
      <c r="M43" s="45"/>
      <c r="N43" s="45"/>
      <c r="O43" s="45"/>
      <c r="P43" s="45"/>
    </row>
    <row r="44" spans="11:16" x14ac:dyDescent="0.15">
      <c r="K44" s="43"/>
      <c r="L44" s="43"/>
      <c r="M44" s="43"/>
      <c r="N44" s="43"/>
      <c r="O44" s="43"/>
      <c r="P44" s="43"/>
    </row>
    <row r="45" spans="11:16" x14ac:dyDescent="0.15">
      <c r="K45" s="43"/>
      <c r="L45" s="43"/>
      <c r="M45" s="43"/>
      <c r="N45" s="43"/>
      <c r="O45" s="43"/>
      <c r="P45" s="43"/>
    </row>
    <row r="46" spans="11:16" x14ac:dyDescent="0.15">
      <c r="K46" s="43"/>
      <c r="L46" s="44"/>
      <c r="M46" s="44"/>
      <c r="N46" s="44"/>
      <c r="O46" s="44"/>
      <c r="P46" s="44"/>
    </row>
    <row r="47" spans="11:16" x14ac:dyDescent="0.15">
      <c r="K47" s="43"/>
      <c r="L47" s="45"/>
      <c r="M47" s="45"/>
      <c r="N47" s="45"/>
      <c r="O47" s="45"/>
      <c r="P47" s="45"/>
    </row>
    <row r="48" spans="11:16" x14ac:dyDescent="0.15">
      <c r="K48" s="43"/>
      <c r="L48" s="45"/>
      <c r="M48" s="45"/>
      <c r="N48" s="45"/>
      <c r="O48" s="45"/>
      <c r="P48" s="45"/>
    </row>
    <row r="49" spans="11:16" x14ac:dyDescent="0.15">
      <c r="K49" s="43"/>
      <c r="L49" s="45"/>
      <c r="M49" s="45"/>
      <c r="N49" s="45"/>
      <c r="O49" s="45"/>
      <c r="P49" s="45"/>
    </row>
    <row r="50" spans="11:16" x14ac:dyDescent="0.15">
      <c r="K50" s="43"/>
      <c r="L50" s="45"/>
      <c r="M50" s="45"/>
      <c r="N50" s="45"/>
      <c r="O50" s="45"/>
      <c r="P50" s="45"/>
    </row>
    <row r="51" spans="11:16" x14ac:dyDescent="0.15">
      <c r="K51" s="43"/>
      <c r="L51" s="45"/>
      <c r="M51" s="45"/>
      <c r="N51" s="45"/>
      <c r="O51" s="45"/>
      <c r="P51" s="45"/>
    </row>
  </sheetData>
  <phoneticPr fontId="2"/>
  <pageMargins left="0.78740157480314965" right="0.78740157480314965" top="0.98425196850393704" bottom="0.98425196850393704" header="0.51181102362204722" footer="0.51181102362204722"/>
  <pageSetup paperSize="9" scale="59" orientation="portrait" r:id="rId1"/>
  <headerFooter alignWithMargins="0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Back_Masta">
                <anchor moveWithCells="1" sizeWithCells="1">
                  <from>
                    <xdr:col>2</xdr:col>
                    <xdr:colOff>123825</xdr:colOff>
                    <xdr:row>25</xdr:row>
                    <xdr:rowOff>104775</xdr:rowOff>
                  </from>
                  <to>
                    <xdr:col>3</xdr:col>
                    <xdr:colOff>476250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Back_Data">
                <anchor moveWithCells="1" sizeWithCells="1">
                  <from>
                    <xdr:col>4</xdr:col>
                    <xdr:colOff>152400</xdr:colOff>
                    <xdr:row>25</xdr:row>
                    <xdr:rowOff>95250</xdr:rowOff>
                  </from>
                  <to>
                    <xdr:col>5</xdr:col>
                    <xdr:colOff>581025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AP_END">
                <anchor moveWithCells="1" sizeWithCells="1">
                  <from>
                    <xdr:col>4</xdr:col>
                    <xdr:colOff>133350</xdr:colOff>
                    <xdr:row>29</xdr:row>
                    <xdr:rowOff>142875</xdr:rowOff>
                  </from>
                  <to>
                    <xdr:col>5</xdr:col>
                    <xdr:colOff>561975</xdr:colOff>
                    <xdr:row>32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indexed="17"/>
    <pageSetUpPr fitToPage="1"/>
  </sheetPr>
  <dimension ref="A1:V152"/>
  <sheetViews>
    <sheetView showGridLines="0" showRowColHeader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J25" sqref="J25"/>
    </sheetView>
  </sheetViews>
  <sheetFormatPr defaultRowHeight="13.5" x14ac:dyDescent="0.15"/>
  <cols>
    <col min="1" max="1" width="5.25" bestFit="1" customWidth="1"/>
    <col min="2" max="2" width="8.625" style="7" bestFit="1" customWidth="1"/>
    <col min="3" max="3" width="12.375" bestFit="1" customWidth="1"/>
    <col min="4" max="4" width="2.75" style="1" bestFit="1" customWidth="1"/>
    <col min="5" max="5" width="5.25" style="1" bestFit="1" customWidth="1"/>
    <col min="6" max="6" width="9.25" style="2" bestFit="1" customWidth="1"/>
    <col min="7" max="9" width="9.125" style="2" bestFit="1" customWidth="1"/>
    <col min="10" max="10" width="9" style="9"/>
    <col min="11" max="11" width="12.625" style="11" customWidth="1"/>
    <col min="12" max="12" width="9" style="9"/>
    <col min="13" max="13" width="12.625" style="7" customWidth="1"/>
    <col min="15" max="15" width="2.5" bestFit="1" customWidth="1"/>
    <col min="16" max="16" width="5.875" bestFit="1" customWidth="1"/>
    <col min="19" max="19" width="3.5" style="7" bestFit="1" customWidth="1"/>
    <col min="20" max="20" width="12.375" style="7" bestFit="1" customWidth="1"/>
    <col min="22" max="22" width="16.75" bestFit="1" customWidth="1"/>
  </cols>
  <sheetData>
    <row r="1" spans="1:22" ht="15" customHeight="1" x14ac:dyDescent="0.15">
      <c r="A1" s="216" t="s">
        <v>0</v>
      </c>
      <c r="B1" s="216"/>
    </row>
    <row r="2" spans="1:22" x14ac:dyDescent="0.15">
      <c r="O2" s="6">
        <v>6</v>
      </c>
      <c r="P2" s="3" t="s">
        <v>76</v>
      </c>
      <c r="Q2" s="3" t="s">
        <v>33</v>
      </c>
      <c r="R2" s="3" t="s">
        <v>382</v>
      </c>
      <c r="S2" s="6" t="s">
        <v>36</v>
      </c>
      <c r="T2" s="12" t="s">
        <v>39</v>
      </c>
      <c r="U2" s="91" t="s">
        <v>44</v>
      </c>
      <c r="V2" s="91" t="s">
        <v>340</v>
      </c>
    </row>
    <row r="3" spans="1:22" x14ac:dyDescent="0.15">
      <c r="A3" s="14" t="s">
        <v>21</v>
      </c>
      <c r="B3" s="15" t="s">
        <v>22</v>
      </c>
      <c r="C3" s="14" t="s">
        <v>2</v>
      </c>
      <c r="D3" s="14" t="s">
        <v>23</v>
      </c>
      <c r="E3" s="14" t="s">
        <v>3</v>
      </c>
      <c r="F3" s="16" t="s">
        <v>24</v>
      </c>
      <c r="G3" s="16" t="s">
        <v>25</v>
      </c>
      <c r="H3" s="16" t="s">
        <v>27</v>
      </c>
      <c r="I3" s="16" t="s">
        <v>26</v>
      </c>
      <c r="J3" s="17" t="s">
        <v>90</v>
      </c>
      <c r="K3" s="18" t="s">
        <v>91</v>
      </c>
      <c r="L3" s="17" t="s">
        <v>93</v>
      </c>
      <c r="M3" s="17" t="s">
        <v>92</v>
      </c>
      <c r="O3" s="6" t="s">
        <v>79</v>
      </c>
      <c r="P3" s="6" t="s">
        <v>71</v>
      </c>
      <c r="Q3" s="3" t="s">
        <v>29</v>
      </c>
      <c r="R3" s="3" t="s">
        <v>12</v>
      </c>
      <c r="S3" s="6" t="s">
        <v>37</v>
      </c>
      <c r="T3" s="12" t="s">
        <v>40</v>
      </c>
      <c r="U3" s="91" t="s">
        <v>45</v>
      </c>
      <c r="V3" s="91" t="s">
        <v>341</v>
      </c>
    </row>
    <row r="4" spans="1:22" x14ac:dyDescent="0.15">
      <c r="A4" s="55" t="s">
        <v>381</v>
      </c>
      <c r="B4" s="56" t="s">
        <v>383</v>
      </c>
      <c r="C4" s="55" t="s">
        <v>384</v>
      </c>
      <c r="D4" s="57" t="s">
        <v>70</v>
      </c>
      <c r="E4" s="57" t="s">
        <v>380</v>
      </c>
      <c r="F4" s="58">
        <v>166740</v>
      </c>
      <c r="G4" s="58">
        <v>32660</v>
      </c>
      <c r="H4" s="58">
        <v>0</v>
      </c>
      <c r="I4" s="58">
        <v>0</v>
      </c>
      <c r="J4" s="59" t="s">
        <v>122</v>
      </c>
      <c r="K4" s="60" t="str">
        <f t="shared" ref="K4:K35" si="0">IF(J4="","",VLOOKUP(J4,$S$2:$T$6,2,FALSE))</f>
        <v>管理部門</v>
      </c>
      <c r="L4" s="59" t="s">
        <v>109</v>
      </c>
      <c r="M4" s="61" t="str">
        <f t="shared" ref="M4:M35" si="1">IF(L4="","",VLOOKUP(L4,$U$2:$V$50,2,FALSE))</f>
        <v>東海業務</v>
      </c>
      <c r="O4" s="6" t="s">
        <v>80</v>
      </c>
      <c r="P4" s="6" t="s">
        <v>72</v>
      </c>
      <c r="Q4" s="3" t="s">
        <v>30</v>
      </c>
      <c r="R4" s="3" t="s">
        <v>13</v>
      </c>
      <c r="S4" s="6" t="s">
        <v>38</v>
      </c>
      <c r="T4" s="12" t="s">
        <v>41</v>
      </c>
      <c r="U4" s="91" t="s">
        <v>46</v>
      </c>
      <c r="V4" s="91" t="s">
        <v>342</v>
      </c>
    </row>
    <row r="5" spans="1:22" x14ac:dyDescent="0.15">
      <c r="A5" s="55" t="s">
        <v>381</v>
      </c>
      <c r="B5" s="56" t="s">
        <v>385</v>
      </c>
      <c r="C5" s="55" t="s">
        <v>386</v>
      </c>
      <c r="D5" s="57" t="s">
        <v>70</v>
      </c>
      <c r="E5" s="57" t="s">
        <v>380</v>
      </c>
      <c r="F5" s="58">
        <v>164460</v>
      </c>
      <c r="G5" s="58">
        <v>32340</v>
      </c>
      <c r="H5" s="58">
        <v>10000</v>
      </c>
      <c r="I5" s="58">
        <v>0</v>
      </c>
      <c r="J5" s="59" t="s">
        <v>122</v>
      </c>
      <c r="K5" s="60" t="str">
        <f t="shared" si="0"/>
        <v>管理部門</v>
      </c>
      <c r="L5" s="59" t="s">
        <v>109</v>
      </c>
      <c r="M5" s="61" t="str">
        <f t="shared" si="1"/>
        <v>東海業務</v>
      </c>
      <c r="O5" s="6" t="s">
        <v>81</v>
      </c>
      <c r="P5" s="6" t="s">
        <v>73</v>
      </c>
      <c r="Q5" s="3" t="s">
        <v>77</v>
      </c>
      <c r="R5" s="3" t="s">
        <v>14</v>
      </c>
      <c r="S5" s="6" t="s">
        <v>42</v>
      </c>
      <c r="T5" s="12" t="s">
        <v>43</v>
      </c>
      <c r="U5" s="91" t="s">
        <v>47</v>
      </c>
      <c r="V5" s="91"/>
    </row>
    <row r="6" spans="1:22" x14ac:dyDescent="0.15">
      <c r="A6" s="55" t="s">
        <v>381</v>
      </c>
      <c r="B6" s="56" t="s">
        <v>387</v>
      </c>
      <c r="C6" s="55" t="s">
        <v>388</v>
      </c>
      <c r="D6" s="57" t="s">
        <v>163</v>
      </c>
      <c r="E6" s="57" t="s">
        <v>380</v>
      </c>
      <c r="F6" s="58">
        <v>79800</v>
      </c>
      <c r="G6" s="58">
        <v>0</v>
      </c>
      <c r="H6" s="58">
        <v>0</v>
      </c>
      <c r="I6" s="58">
        <v>0</v>
      </c>
      <c r="J6" s="59" t="s">
        <v>122</v>
      </c>
      <c r="K6" s="60" t="str">
        <f t="shared" si="0"/>
        <v>管理部門</v>
      </c>
      <c r="L6" s="59" t="s">
        <v>108</v>
      </c>
      <c r="M6" s="61" t="str">
        <f t="shared" si="1"/>
        <v>東海管理</v>
      </c>
      <c r="O6" s="6" t="s">
        <v>82</v>
      </c>
      <c r="P6" s="6" t="s">
        <v>74</v>
      </c>
      <c r="Q6" s="3" t="s">
        <v>31</v>
      </c>
      <c r="R6" s="3" t="s">
        <v>34</v>
      </c>
      <c r="S6" s="6" t="s">
        <v>75</v>
      </c>
      <c r="T6" s="6" t="s">
        <v>78</v>
      </c>
      <c r="U6" s="91" t="s">
        <v>48</v>
      </c>
      <c r="V6" s="91"/>
    </row>
    <row r="7" spans="1:22" x14ac:dyDescent="0.15">
      <c r="A7" s="55" t="s">
        <v>381</v>
      </c>
      <c r="B7" s="56" t="s">
        <v>389</v>
      </c>
      <c r="C7" s="55" t="s">
        <v>390</v>
      </c>
      <c r="D7" s="57" t="s">
        <v>70</v>
      </c>
      <c r="E7" s="57" t="s">
        <v>380</v>
      </c>
      <c r="F7" s="58">
        <v>159900</v>
      </c>
      <c r="G7" s="58">
        <v>31900</v>
      </c>
      <c r="H7" s="58">
        <v>0</v>
      </c>
      <c r="I7" s="58">
        <v>0</v>
      </c>
      <c r="J7" s="59" t="s">
        <v>122</v>
      </c>
      <c r="K7" s="60" t="str">
        <f t="shared" si="0"/>
        <v>管理部門</v>
      </c>
      <c r="L7" s="59" t="s">
        <v>108</v>
      </c>
      <c r="M7" s="61" t="str">
        <f t="shared" si="1"/>
        <v>東海管理</v>
      </c>
      <c r="O7" s="6" t="s">
        <v>83</v>
      </c>
      <c r="P7" s="6" t="s">
        <v>75</v>
      </c>
      <c r="Q7" s="3" t="s">
        <v>32</v>
      </c>
      <c r="R7" s="3" t="s">
        <v>15</v>
      </c>
      <c r="U7" s="91" t="s">
        <v>49</v>
      </c>
      <c r="V7" s="91"/>
    </row>
    <row r="8" spans="1:22" x14ac:dyDescent="0.15">
      <c r="A8" s="55" t="s">
        <v>381</v>
      </c>
      <c r="B8" s="56" t="s">
        <v>391</v>
      </c>
      <c r="C8" s="55" t="s">
        <v>392</v>
      </c>
      <c r="D8" s="57" t="s">
        <v>70</v>
      </c>
      <c r="E8" s="57" t="s">
        <v>380</v>
      </c>
      <c r="F8" s="58">
        <v>155340</v>
      </c>
      <c r="G8" s="58">
        <v>31460</v>
      </c>
      <c r="H8" s="58">
        <v>0</v>
      </c>
      <c r="I8" s="58">
        <v>0</v>
      </c>
      <c r="J8" s="59" t="s">
        <v>122</v>
      </c>
      <c r="K8" s="60" t="str">
        <f t="shared" si="0"/>
        <v>管理部門</v>
      </c>
      <c r="L8" s="59" t="s">
        <v>108</v>
      </c>
      <c r="M8" s="61" t="str">
        <f t="shared" si="1"/>
        <v>東海管理</v>
      </c>
      <c r="O8" s="6" t="s">
        <v>84</v>
      </c>
      <c r="P8" s="6" t="s">
        <v>76</v>
      </c>
      <c r="Q8" s="3" t="s">
        <v>33</v>
      </c>
      <c r="R8" s="3" t="s">
        <v>16</v>
      </c>
      <c r="U8" s="91" t="s">
        <v>50</v>
      </c>
      <c r="V8" s="91" t="s">
        <v>343</v>
      </c>
    </row>
    <row r="9" spans="1:22" x14ac:dyDescent="0.15">
      <c r="A9" s="55" t="s">
        <v>381</v>
      </c>
      <c r="B9" s="56" t="s">
        <v>393</v>
      </c>
      <c r="C9" s="55" t="s">
        <v>394</v>
      </c>
      <c r="D9" s="57" t="s">
        <v>70</v>
      </c>
      <c r="E9" s="57" t="s">
        <v>160</v>
      </c>
      <c r="F9" s="58">
        <v>307420</v>
      </c>
      <c r="G9" s="58">
        <v>47380</v>
      </c>
      <c r="H9" s="58">
        <v>40000</v>
      </c>
      <c r="I9" s="58">
        <v>17000</v>
      </c>
      <c r="J9" s="59" t="s">
        <v>35</v>
      </c>
      <c r="K9" s="60" t="str">
        <f t="shared" si="0"/>
        <v>営業部門</v>
      </c>
      <c r="L9" s="59" t="s">
        <v>108</v>
      </c>
      <c r="M9" s="61" t="str">
        <f t="shared" si="1"/>
        <v>東海管理</v>
      </c>
      <c r="U9" s="91" t="s">
        <v>51</v>
      </c>
      <c r="V9" s="91" t="s">
        <v>344</v>
      </c>
    </row>
    <row r="10" spans="1:22" x14ac:dyDescent="0.15">
      <c r="A10" s="55" t="s">
        <v>381</v>
      </c>
      <c r="B10" s="56" t="s">
        <v>395</v>
      </c>
      <c r="C10" s="55" t="s">
        <v>396</v>
      </c>
      <c r="D10" s="57" t="s">
        <v>70</v>
      </c>
      <c r="E10" s="57" t="s">
        <v>160</v>
      </c>
      <c r="F10" s="58">
        <v>293980</v>
      </c>
      <c r="G10" s="58">
        <v>46020</v>
      </c>
      <c r="H10" s="58">
        <v>40000</v>
      </c>
      <c r="I10" s="58">
        <v>26000</v>
      </c>
      <c r="J10" s="59" t="s">
        <v>122</v>
      </c>
      <c r="K10" s="60" t="str">
        <f t="shared" si="0"/>
        <v>管理部門</v>
      </c>
      <c r="L10" s="59" t="s">
        <v>110</v>
      </c>
      <c r="M10" s="61" t="str">
        <f t="shared" si="1"/>
        <v>東海製造</v>
      </c>
      <c r="U10" s="91" t="s">
        <v>52</v>
      </c>
      <c r="V10" s="91" t="s">
        <v>345</v>
      </c>
    </row>
    <row r="11" spans="1:22" x14ac:dyDescent="0.15">
      <c r="A11" s="55" t="s">
        <v>381</v>
      </c>
      <c r="B11" s="56" t="s">
        <v>397</v>
      </c>
      <c r="C11" s="55" t="s">
        <v>398</v>
      </c>
      <c r="D11" s="57" t="s">
        <v>181</v>
      </c>
      <c r="E11" s="57" t="s">
        <v>380</v>
      </c>
      <c r="F11" s="58">
        <v>360000</v>
      </c>
      <c r="G11" s="58">
        <v>0</v>
      </c>
      <c r="H11" s="58">
        <v>0</v>
      </c>
      <c r="I11" s="58">
        <v>0</v>
      </c>
      <c r="J11" s="59" t="s">
        <v>122</v>
      </c>
      <c r="K11" s="60" t="str">
        <f t="shared" si="0"/>
        <v>管理部門</v>
      </c>
      <c r="L11" s="59" t="s">
        <v>110</v>
      </c>
      <c r="M11" s="61" t="str">
        <f t="shared" si="1"/>
        <v>東海製造</v>
      </c>
      <c r="U11" s="91" t="s">
        <v>53</v>
      </c>
      <c r="V11" s="91" t="s">
        <v>346</v>
      </c>
    </row>
    <row r="12" spans="1:22" x14ac:dyDescent="0.15">
      <c r="A12" s="55" t="s">
        <v>381</v>
      </c>
      <c r="B12" s="56" t="s">
        <v>399</v>
      </c>
      <c r="C12" s="55" t="s">
        <v>400</v>
      </c>
      <c r="D12" s="57" t="s">
        <v>70</v>
      </c>
      <c r="E12" s="57" t="s">
        <v>161</v>
      </c>
      <c r="F12" s="58">
        <v>259840</v>
      </c>
      <c r="G12" s="58">
        <v>42360</v>
      </c>
      <c r="H12" s="58">
        <v>15000</v>
      </c>
      <c r="I12" s="58">
        <v>0</v>
      </c>
      <c r="J12" s="59" t="s">
        <v>122</v>
      </c>
      <c r="K12" s="60" t="str">
        <f t="shared" si="0"/>
        <v>管理部門</v>
      </c>
      <c r="L12" s="59" t="s">
        <v>110</v>
      </c>
      <c r="M12" s="61" t="str">
        <f t="shared" si="1"/>
        <v>東海製造</v>
      </c>
      <c r="U12" s="91" t="s">
        <v>54</v>
      </c>
      <c r="V12" s="91" t="s">
        <v>347</v>
      </c>
    </row>
    <row r="13" spans="1:22" x14ac:dyDescent="0.15">
      <c r="A13" s="55" t="s">
        <v>381</v>
      </c>
      <c r="B13" s="56" t="s">
        <v>401</v>
      </c>
      <c r="C13" s="55" t="s">
        <v>402</v>
      </c>
      <c r="D13" s="57" t="s">
        <v>70</v>
      </c>
      <c r="E13" s="57" t="s">
        <v>161</v>
      </c>
      <c r="F13" s="58">
        <v>261630</v>
      </c>
      <c r="G13" s="58">
        <v>42570</v>
      </c>
      <c r="H13" s="58">
        <v>15000</v>
      </c>
      <c r="I13" s="58">
        <v>0</v>
      </c>
      <c r="J13" s="59" t="s">
        <v>122</v>
      </c>
      <c r="K13" s="60" t="str">
        <f t="shared" si="0"/>
        <v>管理部門</v>
      </c>
      <c r="L13" s="59" t="s">
        <v>109</v>
      </c>
      <c r="M13" s="61" t="str">
        <f t="shared" si="1"/>
        <v>東海業務</v>
      </c>
      <c r="U13" s="91" t="s">
        <v>55</v>
      </c>
      <c r="V13" s="91" t="s">
        <v>348</v>
      </c>
    </row>
    <row r="14" spans="1:22" x14ac:dyDescent="0.15">
      <c r="A14" s="55" t="s">
        <v>381</v>
      </c>
      <c r="B14" s="56" t="s">
        <v>403</v>
      </c>
      <c r="C14" s="55" t="s">
        <v>404</v>
      </c>
      <c r="D14" s="57" t="s">
        <v>70</v>
      </c>
      <c r="E14" s="57" t="s">
        <v>161</v>
      </c>
      <c r="F14" s="58">
        <v>236570</v>
      </c>
      <c r="G14" s="58">
        <v>39930</v>
      </c>
      <c r="H14" s="58">
        <v>15000</v>
      </c>
      <c r="I14" s="58">
        <v>0</v>
      </c>
      <c r="J14" s="59" t="s">
        <v>122</v>
      </c>
      <c r="K14" s="60" t="str">
        <f t="shared" si="0"/>
        <v>管理部門</v>
      </c>
      <c r="L14" s="59" t="s">
        <v>110</v>
      </c>
      <c r="M14" s="61" t="str">
        <f t="shared" si="1"/>
        <v>東海製造</v>
      </c>
      <c r="U14" s="91" t="s">
        <v>56</v>
      </c>
      <c r="V14" s="91" t="s">
        <v>349</v>
      </c>
    </row>
    <row r="15" spans="1:22" x14ac:dyDescent="0.15">
      <c r="A15" s="55" t="s">
        <v>381</v>
      </c>
      <c r="B15" s="56" t="s">
        <v>405</v>
      </c>
      <c r="C15" s="55" t="s">
        <v>406</v>
      </c>
      <c r="D15" s="57" t="s">
        <v>70</v>
      </c>
      <c r="E15" s="57" t="s">
        <v>162</v>
      </c>
      <c r="F15" s="58">
        <v>224640</v>
      </c>
      <c r="G15" s="58">
        <v>38660</v>
      </c>
      <c r="H15" s="58">
        <v>0</v>
      </c>
      <c r="I15" s="58">
        <v>26000</v>
      </c>
      <c r="J15" s="59" t="s">
        <v>122</v>
      </c>
      <c r="K15" s="60" t="str">
        <f t="shared" si="0"/>
        <v>管理部門</v>
      </c>
      <c r="L15" s="59" t="s">
        <v>110</v>
      </c>
      <c r="M15" s="61" t="str">
        <f t="shared" si="1"/>
        <v>東海製造</v>
      </c>
      <c r="U15" s="91" t="s">
        <v>57</v>
      </c>
      <c r="V15" s="91" t="s">
        <v>350</v>
      </c>
    </row>
    <row r="16" spans="1:22" x14ac:dyDescent="0.15">
      <c r="A16" s="55" t="s">
        <v>381</v>
      </c>
      <c r="B16" s="56" t="s">
        <v>407</v>
      </c>
      <c r="C16" s="55" t="s">
        <v>408</v>
      </c>
      <c r="D16" s="57" t="s">
        <v>70</v>
      </c>
      <c r="E16" s="57" t="s">
        <v>161</v>
      </c>
      <c r="F16" s="58">
        <v>252680</v>
      </c>
      <c r="G16" s="58">
        <v>41620</v>
      </c>
      <c r="H16" s="58">
        <v>15000</v>
      </c>
      <c r="I16" s="58">
        <v>13000</v>
      </c>
      <c r="J16" s="59" t="s">
        <v>35</v>
      </c>
      <c r="K16" s="60" t="str">
        <f t="shared" si="0"/>
        <v>営業部門</v>
      </c>
      <c r="L16" s="59" t="s">
        <v>108</v>
      </c>
      <c r="M16" s="61" t="str">
        <f t="shared" si="1"/>
        <v>東海管理</v>
      </c>
      <c r="U16" s="91" t="s">
        <v>58</v>
      </c>
      <c r="V16" s="91" t="s">
        <v>351</v>
      </c>
    </row>
    <row r="17" spans="1:22" x14ac:dyDescent="0.15">
      <c r="A17" s="55" t="s">
        <v>381</v>
      </c>
      <c r="B17" s="56" t="s">
        <v>409</v>
      </c>
      <c r="C17" s="55" t="s">
        <v>410</v>
      </c>
      <c r="D17" s="57" t="s">
        <v>70</v>
      </c>
      <c r="E17" s="57" t="s">
        <v>162</v>
      </c>
      <c r="F17" s="58">
        <v>231790</v>
      </c>
      <c r="G17" s="58">
        <v>39510</v>
      </c>
      <c r="H17" s="58">
        <v>0</v>
      </c>
      <c r="I17" s="58">
        <v>30000</v>
      </c>
      <c r="J17" s="59" t="s">
        <v>122</v>
      </c>
      <c r="K17" s="60" t="str">
        <f t="shared" si="0"/>
        <v>管理部門</v>
      </c>
      <c r="L17" s="59" t="s">
        <v>110</v>
      </c>
      <c r="M17" s="61" t="str">
        <f t="shared" si="1"/>
        <v>東海製造</v>
      </c>
      <c r="U17" s="91" t="s">
        <v>59</v>
      </c>
      <c r="V17" s="91" t="s">
        <v>352</v>
      </c>
    </row>
    <row r="18" spans="1:22" x14ac:dyDescent="0.15">
      <c r="A18" s="55" t="s">
        <v>381</v>
      </c>
      <c r="B18" s="56" t="s">
        <v>411</v>
      </c>
      <c r="C18" s="55" t="s">
        <v>412</v>
      </c>
      <c r="D18" s="57" t="s">
        <v>70</v>
      </c>
      <c r="E18" s="57" t="s">
        <v>380</v>
      </c>
      <c r="F18" s="58">
        <v>140520</v>
      </c>
      <c r="G18" s="58">
        <v>29880</v>
      </c>
      <c r="H18" s="58">
        <v>0</v>
      </c>
      <c r="I18" s="58">
        <v>0</v>
      </c>
      <c r="J18" s="59" t="s">
        <v>122</v>
      </c>
      <c r="K18" s="60" t="str">
        <f t="shared" si="0"/>
        <v>管理部門</v>
      </c>
      <c r="L18" s="59" t="s">
        <v>110</v>
      </c>
      <c r="M18" s="61" t="str">
        <f t="shared" si="1"/>
        <v>東海製造</v>
      </c>
      <c r="U18" s="91" t="s">
        <v>60</v>
      </c>
      <c r="V18" s="91" t="s">
        <v>353</v>
      </c>
    </row>
    <row r="19" spans="1:22" x14ac:dyDescent="0.15">
      <c r="A19" s="55" t="s">
        <v>381</v>
      </c>
      <c r="B19" s="56" t="s">
        <v>413</v>
      </c>
      <c r="C19" s="55" t="s">
        <v>414</v>
      </c>
      <c r="D19" s="57" t="s">
        <v>70</v>
      </c>
      <c r="E19" s="57" t="s">
        <v>380</v>
      </c>
      <c r="F19" s="58">
        <v>221460</v>
      </c>
      <c r="G19" s="58">
        <v>38340</v>
      </c>
      <c r="H19" s="58">
        <v>0</v>
      </c>
      <c r="I19" s="58">
        <v>0</v>
      </c>
      <c r="J19" s="59" t="s">
        <v>122</v>
      </c>
      <c r="K19" s="60" t="str">
        <f t="shared" si="0"/>
        <v>管理部門</v>
      </c>
      <c r="L19" s="59" t="s">
        <v>110</v>
      </c>
      <c r="M19" s="61" t="str">
        <f t="shared" si="1"/>
        <v>東海製造</v>
      </c>
      <c r="U19" s="91" t="s">
        <v>254</v>
      </c>
      <c r="V19" s="91" t="s">
        <v>354</v>
      </c>
    </row>
    <row r="20" spans="1:22" x14ac:dyDescent="0.15">
      <c r="A20" s="55" t="s">
        <v>381</v>
      </c>
      <c r="B20" s="56" t="s">
        <v>415</v>
      </c>
      <c r="C20" s="55" t="s">
        <v>416</v>
      </c>
      <c r="D20" s="57" t="s">
        <v>163</v>
      </c>
      <c r="E20" s="57" t="s">
        <v>380</v>
      </c>
      <c r="F20" s="58">
        <v>159600</v>
      </c>
      <c r="G20" s="58">
        <v>0</v>
      </c>
      <c r="H20" s="58">
        <v>0</v>
      </c>
      <c r="I20" s="58">
        <v>0</v>
      </c>
      <c r="J20" s="59" t="s">
        <v>122</v>
      </c>
      <c r="K20" s="60" t="str">
        <f t="shared" si="0"/>
        <v>管理部門</v>
      </c>
      <c r="L20" s="59" t="s">
        <v>110</v>
      </c>
      <c r="M20" s="61" t="str">
        <f t="shared" si="1"/>
        <v>東海製造</v>
      </c>
      <c r="U20" s="91" t="s">
        <v>61</v>
      </c>
      <c r="V20" s="91" t="s">
        <v>355</v>
      </c>
    </row>
    <row r="21" spans="1:22" x14ac:dyDescent="0.15">
      <c r="A21" s="55" t="s">
        <v>381</v>
      </c>
      <c r="B21" s="56" t="s">
        <v>417</v>
      </c>
      <c r="C21" s="55" t="s">
        <v>418</v>
      </c>
      <c r="D21" s="57" t="s">
        <v>163</v>
      </c>
      <c r="E21" s="57" t="s">
        <v>380</v>
      </c>
      <c r="F21" s="58">
        <v>159600</v>
      </c>
      <c r="G21" s="58">
        <v>0</v>
      </c>
      <c r="H21" s="58">
        <v>0</v>
      </c>
      <c r="I21" s="58">
        <v>0</v>
      </c>
      <c r="J21" s="59" t="s">
        <v>122</v>
      </c>
      <c r="K21" s="60" t="str">
        <f t="shared" si="0"/>
        <v>管理部門</v>
      </c>
      <c r="L21" s="59" t="s">
        <v>110</v>
      </c>
      <c r="M21" s="61" t="str">
        <f t="shared" si="1"/>
        <v>東海製造</v>
      </c>
      <c r="U21" s="91" t="s">
        <v>62</v>
      </c>
      <c r="V21" s="91" t="s">
        <v>356</v>
      </c>
    </row>
    <row r="22" spans="1:22" x14ac:dyDescent="0.15">
      <c r="A22" s="55" t="s">
        <v>381</v>
      </c>
      <c r="B22" s="56" t="s">
        <v>419</v>
      </c>
      <c r="C22" s="55" t="s">
        <v>420</v>
      </c>
      <c r="D22" s="57" t="s">
        <v>163</v>
      </c>
      <c r="E22" s="57" t="s">
        <v>380</v>
      </c>
      <c r="F22" s="58">
        <v>159600</v>
      </c>
      <c r="G22" s="58">
        <v>0</v>
      </c>
      <c r="H22" s="58">
        <v>0</v>
      </c>
      <c r="I22" s="58">
        <v>0</v>
      </c>
      <c r="J22" s="59" t="s">
        <v>122</v>
      </c>
      <c r="K22" s="60" t="str">
        <f t="shared" si="0"/>
        <v>管理部門</v>
      </c>
      <c r="L22" s="59" t="s">
        <v>110</v>
      </c>
      <c r="M22" s="61" t="str">
        <f t="shared" si="1"/>
        <v>東海製造</v>
      </c>
      <c r="U22" s="91" t="s">
        <v>63</v>
      </c>
      <c r="V22" s="91" t="s">
        <v>357</v>
      </c>
    </row>
    <row r="23" spans="1:22" x14ac:dyDescent="0.15">
      <c r="A23" s="55" t="s">
        <v>381</v>
      </c>
      <c r="B23" s="56" t="s">
        <v>421</v>
      </c>
      <c r="C23" s="55" t="s">
        <v>422</v>
      </c>
      <c r="D23" s="57" t="s">
        <v>163</v>
      </c>
      <c r="E23" s="57" t="s">
        <v>380</v>
      </c>
      <c r="F23" s="58">
        <v>100800</v>
      </c>
      <c r="G23" s="58">
        <v>0</v>
      </c>
      <c r="H23" s="58">
        <v>0</v>
      </c>
      <c r="I23" s="58">
        <v>0</v>
      </c>
      <c r="J23" s="59" t="s">
        <v>122</v>
      </c>
      <c r="K23" s="60" t="str">
        <f t="shared" si="0"/>
        <v>管理部門</v>
      </c>
      <c r="L23" s="59" t="s">
        <v>110</v>
      </c>
      <c r="M23" s="61" t="str">
        <f t="shared" si="1"/>
        <v>東海製造</v>
      </c>
      <c r="U23" s="91" t="s">
        <v>64</v>
      </c>
      <c r="V23" s="91" t="s">
        <v>358</v>
      </c>
    </row>
    <row r="24" spans="1:22" x14ac:dyDescent="0.15">
      <c r="A24" s="55" t="s">
        <v>381</v>
      </c>
      <c r="B24" s="56" t="s">
        <v>423</v>
      </c>
      <c r="C24" s="55" t="s">
        <v>424</v>
      </c>
      <c r="D24" s="57" t="s">
        <v>163</v>
      </c>
      <c r="E24" s="57" t="s">
        <v>380</v>
      </c>
      <c r="F24" s="58">
        <v>159600</v>
      </c>
      <c r="G24" s="58">
        <v>0</v>
      </c>
      <c r="H24" s="58">
        <v>0</v>
      </c>
      <c r="I24" s="58">
        <v>0</v>
      </c>
      <c r="J24" s="59" t="s">
        <v>122</v>
      </c>
      <c r="K24" s="60" t="str">
        <f t="shared" si="0"/>
        <v>管理部門</v>
      </c>
      <c r="L24" s="59" t="s">
        <v>110</v>
      </c>
      <c r="M24" s="61" t="str">
        <f t="shared" si="1"/>
        <v>東海製造</v>
      </c>
      <c r="U24" s="91" t="s">
        <v>65</v>
      </c>
      <c r="V24" s="91" t="s">
        <v>359</v>
      </c>
    </row>
    <row r="25" spans="1:22" x14ac:dyDescent="0.15">
      <c r="A25" s="55"/>
      <c r="B25" s="56"/>
      <c r="C25" s="55"/>
      <c r="D25" s="57"/>
      <c r="E25" s="57"/>
      <c r="F25" s="58"/>
      <c r="G25" s="58"/>
      <c r="H25" s="58"/>
      <c r="I25" s="58"/>
      <c r="J25" s="59"/>
      <c r="K25" s="60" t="str">
        <f t="shared" si="0"/>
        <v/>
      </c>
      <c r="L25" s="59"/>
      <c r="M25" s="61" t="str">
        <f t="shared" si="1"/>
        <v/>
      </c>
      <c r="U25" s="91" t="s">
        <v>66</v>
      </c>
      <c r="V25" s="91" t="s">
        <v>360</v>
      </c>
    </row>
    <row r="26" spans="1:22" x14ac:dyDescent="0.15">
      <c r="A26" s="55"/>
      <c r="B26" s="56"/>
      <c r="C26" s="55"/>
      <c r="D26" s="57"/>
      <c r="E26" s="57"/>
      <c r="F26" s="58"/>
      <c r="G26" s="58"/>
      <c r="H26" s="58"/>
      <c r="I26" s="58"/>
      <c r="J26" s="59"/>
      <c r="K26" s="60" t="str">
        <f t="shared" si="0"/>
        <v/>
      </c>
      <c r="L26" s="59"/>
      <c r="M26" s="61" t="str">
        <f t="shared" si="1"/>
        <v/>
      </c>
      <c r="U26" s="91" t="s">
        <v>67</v>
      </c>
      <c r="V26" s="91" t="s">
        <v>361</v>
      </c>
    </row>
    <row r="27" spans="1:22" x14ac:dyDescent="0.15">
      <c r="A27" s="55"/>
      <c r="B27" s="56"/>
      <c r="C27" s="55"/>
      <c r="D27" s="57"/>
      <c r="E27" s="57"/>
      <c r="F27" s="58"/>
      <c r="G27" s="58"/>
      <c r="H27" s="58"/>
      <c r="I27" s="58"/>
      <c r="J27" s="59"/>
      <c r="K27" s="60" t="str">
        <f t="shared" si="0"/>
        <v/>
      </c>
      <c r="L27" s="59"/>
      <c r="M27" s="61" t="str">
        <f t="shared" si="1"/>
        <v/>
      </c>
      <c r="U27" s="91" t="s">
        <v>68</v>
      </c>
      <c r="V27" s="91" t="s">
        <v>362</v>
      </c>
    </row>
    <row r="28" spans="1:22" x14ac:dyDescent="0.15">
      <c r="A28" s="55"/>
      <c r="B28" s="56"/>
      <c r="C28" s="55"/>
      <c r="D28" s="57"/>
      <c r="E28" s="57"/>
      <c r="F28" s="58"/>
      <c r="G28" s="58"/>
      <c r="H28" s="58"/>
      <c r="I28" s="58"/>
      <c r="J28" s="59"/>
      <c r="K28" s="60" t="str">
        <f t="shared" si="0"/>
        <v/>
      </c>
      <c r="L28" s="59"/>
      <c r="M28" s="61" t="str">
        <f t="shared" si="1"/>
        <v/>
      </c>
      <c r="U28" s="91" t="s">
        <v>69</v>
      </c>
      <c r="V28" s="91" t="s">
        <v>363</v>
      </c>
    </row>
    <row r="29" spans="1:22" x14ac:dyDescent="0.15">
      <c r="A29" s="55"/>
      <c r="B29" s="56"/>
      <c r="C29" s="55"/>
      <c r="D29" s="57"/>
      <c r="E29" s="57"/>
      <c r="F29" s="58"/>
      <c r="G29" s="58"/>
      <c r="H29" s="58"/>
      <c r="I29" s="58"/>
      <c r="J29" s="59"/>
      <c r="K29" s="60" t="str">
        <f t="shared" si="0"/>
        <v/>
      </c>
      <c r="L29" s="59"/>
      <c r="M29" s="61" t="str">
        <f t="shared" si="1"/>
        <v/>
      </c>
      <c r="U29" s="91"/>
      <c r="V29" s="91"/>
    </row>
    <row r="30" spans="1:22" x14ac:dyDescent="0.15">
      <c r="A30" s="55"/>
      <c r="B30" s="56"/>
      <c r="C30" s="55"/>
      <c r="D30" s="57"/>
      <c r="E30" s="57"/>
      <c r="F30" s="58"/>
      <c r="G30" s="58"/>
      <c r="H30" s="58"/>
      <c r="I30" s="58"/>
      <c r="J30" s="59"/>
      <c r="K30" s="60" t="str">
        <f t="shared" si="0"/>
        <v/>
      </c>
      <c r="L30" s="59"/>
      <c r="M30" s="61" t="str">
        <f t="shared" si="1"/>
        <v/>
      </c>
      <c r="U30" s="91"/>
      <c r="V30" s="91"/>
    </row>
    <row r="31" spans="1:22" x14ac:dyDescent="0.15">
      <c r="A31" s="55"/>
      <c r="B31" s="56"/>
      <c r="C31" s="55"/>
      <c r="D31" s="57"/>
      <c r="E31" s="57"/>
      <c r="F31" s="58"/>
      <c r="G31" s="58"/>
      <c r="H31" s="58"/>
      <c r="I31" s="58"/>
      <c r="J31" s="59"/>
      <c r="K31" s="60" t="str">
        <f t="shared" si="0"/>
        <v/>
      </c>
      <c r="L31" s="59"/>
      <c r="M31" s="61" t="str">
        <f t="shared" si="1"/>
        <v/>
      </c>
      <c r="U31" s="91"/>
      <c r="V31" s="91"/>
    </row>
    <row r="32" spans="1:22" x14ac:dyDescent="0.15">
      <c r="A32" s="55"/>
      <c r="B32" s="56"/>
      <c r="C32" s="55"/>
      <c r="D32" s="57"/>
      <c r="E32" s="57"/>
      <c r="F32" s="58"/>
      <c r="G32" s="58"/>
      <c r="H32" s="58"/>
      <c r="I32" s="58"/>
      <c r="J32" s="59"/>
      <c r="K32" s="60" t="str">
        <f t="shared" si="0"/>
        <v/>
      </c>
      <c r="L32" s="59"/>
      <c r="M32" s="61" t="str">
        <f t="shared" si="1"/>
        <v/>
      </c>
      <c r="U32" s="91" t="s">
        <v>102</v>
      </c>
      <c r="V32" s="91" t="s">
        <v>364</v>
      </c>
    </row>
    <row r="33" spans="1:22" x14ac:dyDescent="0.15">
      <c r="A33" s="55"/>
      <c r="B33" s="56"/>
      <c r="C33" s="55"/>
      <c r="D33" s="57"/>
      <c r="E33" s="57"/>
      <c r="F33" s="58"/>
      <c r="G33" s="58"/>
      <c r="H33" s="58"/>
      <c r="I33" s="58"/>
      <c r="J33" s="59"/>
      <c r="K33" s="60" t="str">
        <f t="shared" si="0"/>
        <v/>
      </c>
      <c r="L33" s="59"/>
      <c r="M33" s="61" t="str">
        <f t="shared" si="1"/>
        <v/>
      </c>
      <c r="U33" s="91" t="s">
        <v>103</v>
      </c>
      <c r="V33" s="91" t="s">
        <v>365</v>
      </c>
    </row>
    <row r="34" spans="1:22" x14ac:dyDescent="0.15">
      <c r="A34" s="55"/>
      <c r="B34" s="56"/>
      <c r="C34" s="55"/>
      <c r="D34" s="57"/>
      <c r="E34" s="57"/>
      <c r="F34" s="58"/>
      <c r="G34" s="58"/>
      <c r="H34" s="58"/>
      <c r="I34" s="58"/>
      <c r="J34" s="59"/>
      <c r="K34" s="60" t="str">
        <f t="shared" si="0"/>
        <v/>
      </c>
      <c r="L34" s="59"/>
      <c r="M34" s="61" t="str">
        <f t="shared" si="1"/>
        <v/>
      </c>
      <c r="U34" s="91" t="s">
        <v>104</v>
      </c>
      <c r="V34" s="91"/>
    </row>
    <row r="35" spans="1:22" x14ac:dyDescent="0.15">
      <c r="A35" s="55"/>
      <c r="B35" s="56"/>
      <c r="C35" s="55"/>
      <c r="D35" s="57"/>
      <c r="E35" s="57"/>
      <c r="F35" s="58"/>
      <c r="G35" s="58"/>
      <c r="H35" s="58"/>
      <c r="I35" s="58"/>
      <c r="J35" s="59"/>
      <c r="K35" s="60" t="str">
        <f t="shared" si="0"/>
        <v/>
      </c>
      <c r="L35" s="59"/>
      <c r="M35" s="61" t="str">
        <f t="shared" si="1"/>
        <v/>
      </c>
      <c r="U35" s="91" t="s">
        <v>105</v>
      </c>
      <c r="V35" s="91" t="s">
        <v>366</v>
      </c>
    </row>
    <row r="36" spans="1:22" x14ac:dyDescent="0.15">
      <c r="A36" s="55"/>
      <c r="B36" s="56"/>
      <c r="C36" s="55"/>
      <c r="D36" s="57"/>
      <c r="E36" s="57"/>
      <c r="F36" s="58"/>
      <c r="G36" s="58"/>
      <c r="H36" s="58"/>
      <c r="I36" s="58"/>
      <c r="J36" s="59"/>
      <c r="K36" s="60" t="str">
        <f t="shared" ref="K36:K67" si="2">IF(J36="","",VLOOKUP(J36,$S$2:$T$6,2,FALSE))</f>
        <v/>
      </c>
      <c r="L36" s="59"/>
      <c r="M36" s="61" t="str">
        <f t="shared" ref="M36:M67" si="3">IF(L36="","",VLOOKUP(L36,$U$2:$V$50,2,FALSE))</f>
        <v/>
      </c>
      <c r="U36" s="91" t="s">
        <v>106</v>
      </c>
      <c r="V36" s="91" t="s">
        <v>367</v>
      </c>
    </row>
    <row r="37" spans="1:22" x14ac:dyDescent="0.15">
      <c r="A37" s="55"/>
      <c r="B37" s="56"/>
      <c r="C37" s="55"/>
      <c r="D37" s="57"/>
      <c r="E37" s="57"/>
      <c r="F37" s="58"/>
      <c r="G37" s="58"/>
      <c r="H37" s="58"/>
      <c r="I37" s="58"/>
      <c r="J37" s="59"/>
      <c r="K37" s="60" t="str">
        <f t="shared" si="2"/>
        <v/>
      </c>
      <c r="L37" s="59"/>
      <c r="M37" s="61" t="str">
        <f t="shared" si="3"/>
        <v/>
      </c>
      <c r="U37" s="91" t="s">
        <v>107</v>
      </c>
      <c r="V37" s="91"/>
    </row>
    <row r="38" spans="1:22" x14ac:dyDescent="0.15">
      <c r="A38" s="3"/>
      <c r="B38" s="6"/>
      <c r="C38" s="3"/>
      <c r="D38" s="4"/>
      <c r="E38" s="4"/>
      <c r="F38" s="5"/>
      <c r="G38" s="5"/>
      <c r="H38" s="5"/>
      <c r="I38" s="5"/>
      <c r="J38" s="8"/>
      <c r="K38" s="10" t="str">
        <f t="shared" si="2"/>
        <v/>
      </c>
      <c r="L38" s="8"/>
      <c r="M38" s="13" t="str">
        <f t="shared" si="3"/>
        <v/>
      </c>
      <c r="U38" s="91" t="s">
        <v>108</v>
      </c>
      <c r="V38" s="91" t="s">
        <v>368</v>
      </c>
    </row>
    <row r="39" spans="1:22" x14ac:dyDescent="0.15">
      <c r="A39" s="3"/>
      <c r="B39" s="6"/>
      <c r="C39" s="3"/>
      <c r="D39" s="4"/>
      <c r="E39" s="4"/>
      <c r="F39" s="5"/>
      <c r="G39" s="5"/>
      <c r="H39" s="5"/>
      <c r="I39" s="5"/>
      <c r="J39" s="8"/>
      <c r="K39" s="10" t="str">
        <f t="shared" si="2"/>
        <v/>
      </c>
      <c r="L39" s="8"/>
      <c r="M39" s="13" t="str">
        <f t="shared" si="3"/>
        <v/>
      </c>
      <c r="U39" s="91" t="s">
        <v>109</v>
      </c>
      <c r="V39" s="91" t="s">
        <v>369</v>
      </c>
    </row>
    <row r="40" spans="1:22" x14ac:dyDescent="0.15">
      <c r="A40" s="3"/>
      <c r="B40" s="6"/>
      <c r="C40" s="3"/>
      <c r="D40" s="4"/>
      <c r="E40" s="4"/>
      <c r="F40" s="5"/>
      <c r="G40" s="5"/>
      <c r="H40" s="5"/>
      <c r="I40" s="5"/>
      <c r="J40" s="8"/>
      <c r="K40" s="10" t="str">
        <f t="shared" si="2"/>
        <v/>
      </c>
      <c r="L40" s="8"/>
      <c r="M40" s="13" t="str">
        <f t="shared" si="3"/>
        <v/>
      </c>
      <c r="U40" s="91" t="s">
        <v>110</v>
      </c>
      <c r="V40" s="91" t="s">
        <v>370</v>
      </c>
    </row>
    <row r="41" spans="1:22" x14ac:dyDescent="0.15">
      <c r="A41" s="3"/>
      <c r="B41" s="6"/>
      <c r="C41" s="3"/>
      <c r="D41" s="4"/>
      <c r="E41" s="4"/>
      <c r="F41" s="5"/>
      <c r="G41" s="5"/>
      <c r="H41" s="5"/>
      <c r="I41" s="5"/>
      <c r="J41" s="8"/>
      <c r="K41" s="10" t="str">
        <f t="shared" si="2"/>
        <v/>
      </c>
      <c r="L41" s="8"/>
      <c r="M41" s="13" t="str">
        <f t="shared" si="3"/>
        <v/>
      </c>
      <c r="U41" s="91" t="s">
        <v>111</v>
      </c>
      <c r="V41" s="91"/>
    </row>
    <row r="42" spans="1:22" x14ac:dyDescent="0.15">
      <c r="A42" s="3"/>
      <c r="B42" s="6"/>
      <c r="C42" s="3"/>
      <c r="D42" s="4"/>
      <c r="E42" s="4"/>
      <c r="F42" s="5"/>
      <c r="G42" s="5"/>
      <c r="H42" s="5"/>
      <c r="I42" s="5"/>
      <c r="J42" s="8"/>
      <c r="K42" s="10" t="str">
        <f t="shared" si="2"/>
        <v/>
      </c>
      <c r="L42" s="8"/>
      <c r="M42" s="13" t="str">
        <f t="shared" si="3"/>
        <v/>
      </c>
      <c r="U42" s="91" t="s">
        <v>112</v>
      </c>
      <c r="V42" s="91" t="s">
        <v>371</v>
      </c>
    </row>
    <row r="43" spans="1:22" x14ac:dyDescent="0.15">
      <c r="A43" s="3"/>
      <c r="B43" s="6"/>
      <c r="C43" s="3"/>
      <c r="D43" s="4"/>
      <c r="E43" s="4"/>
      <c r="F43" s="5"/>
      <c r="G43" s="5"/>
      <c r="H43" s="5"/>
      <c r="I43" s="5"/>
      <c r="J43" s="8"/>
      <c r="K43" s="10" t="str">
        <f t="shared" si="2"/>
        <v/>
      </c>
      <c r="L43" s="8"/>
      <c r="M43" s="13" t="str">
        <f t="shared" si="3"/>
        <v/>
      </c>
      <c r="U43" s="91" t="s">
        <v>113</v>
      </c>
      <c r="V43" s="92"/>
    </row>
    <row r="44" spans="1:22" x14ac:dyDescent="0.15">
      <c r="A44" s="3"/>
      <c r="B44" s="6"/>
      <c r="C44" s="3"/>
      <c r="D44" s="4"/>
      <c r="E44" s="4"/>
      <c r="F44" s="5"/>
      <c r="G44" s="5"/>
      <c r="H44" s="5"/>
      <c r="I44" s="5"/>
      <c r="J44" s="8"/>
      <c r="K44" s="10" t="str">
        <f t="shared" si="2"/>
        <v/>
      </c>
      <c r="L44" s="8"/>
      <c r="M44" s="13" t="str">
        <f t="shared" si="3"/>
        <v/>
      </c>
      <c r="U44" s="91" t="s">
        <v>114</v>
      </c>
      <c r="V44" s="91" t="s">
        <v>372</v>
      </c>
    </row>
    <row r="45" spans="1:22" x14ac:dyDescent="0.15">
      <c r="A45" s="3"/>
      <c r="B45" s="6"/>
      <c r="C45" s="3"/>
      <c r="D45" s="4"/>
      <c r="E45" s="4"/>
      <c r="F45" s="5"/>
      <c r="G45" s="5"/>
      <c r="H45" s="5"/>
      <c r="I45" s="5"/>
      <c r="J45" s="8"/>
      <c r="K45" s="10" t="str">
        <f t="shared" si="2"/>
        <v/>
      </c>
      <c r="L45" s="8"/>
      <c r="M45" s="13" t="str">
        <f t="shared" si="3"/>
        <v/>
      </c>
      <c r="U45" s="91" t="s">
        <v>115</v>
      </c>
      <c r="V45" s="92" t="s">
        <v>373</v>
      </c>
    </row>
    <row r="46" spans="1:22" x14ac:dyDescent="0.15">
      <c r="A46" s="3"/>
      <c r="B46" s="6"/>
      <c r="C46" s="3"/>
      <c r="D46" s="4"/>
      <c r="E46" s="4"/>
      <c r="F46" s="5"/>
      <c r="G46" s="5"/>
      <c r="H46" s="5"/>
      <c r="I46" s="5"/>
      <c r="J46" s="8"/>
      <c r="K46" s="10" t="str">
        <f t="shared" si="2"/>
        <v/>
      </c>
      <c r="L46" s="8"/>
      <c r="M46" s="13" t="str">
        <f t="shared" si="3"/>
        <v/>
      </c>
      <c r="U46" s="91" t="s">
        <v>116</v>
      </c>
      <c r="V46" s="92" t="s">
        <v>374</v>
      </c>
    </row>
    <row r="47" spans="1:22" x14ac:dyDescent="0.15">
      <c r="A47" s="3"/>
      <c r="B47" s="6"/>
      <c r="C47" s="3"/>
      <c r="D47" s="4"/>
      <c r="E47" s="4"/>
      <c r="F47" s="5"/>
      <c r="G47" s="5"/>
      <c r="H47" s="5"/>
      <c r="I47" s="5"/>
      <c r="J47" s="8"/>
      <c r="K47" s="10" t="str">
        <f t="shared" si="2"/>
        <v/>
      </c>
      <c r="L47" s="8"/>
      <c r="M47" s="13" t="str">
        <f t="shared" si="3"/>
        <v/>
      </c>
      <c r="U47" s="91" t="s">
        <v>117</v>
      </c>
      <c r="V47" s="92"/>
    </row>
    <row r="48" spans="1:22" x14ac:dyDescent="0.15">
      <c r="A48" s="3"/>
      <c r="B48" s="6"/>
      <c r="C48" s="3"/>
      <c r="D48" s="4"/>
      <c r="E48" s="4"/>
      <c r="F48" s="5"/>
      <c r="G48" s="5"/>
      <c r="H48" s="5"/>
      <c r="I48" s="5"/>
      <c r="J48" s="8"/>
      <c r="K48" s="10" t="str">
        <f t="shared" si="2"/>
        <v/>
      </c>
      <c r="L48" s="8"/>
      <c r="M48" s="13" t="str">
        <f t="shared" si="3"/>
        <v/>
      </c>
      <c r="U48" s="91" t="s">
        <v>118</v>
      </c>
      <c r="V48" s="92" t="s">
        <v>375</v>
      </c>
    </row>
    <row r="49" spans="1:22" x14ac:dyDescent="0.15">
      <c r="A49" s="3"/>
      <c r="B49" s="6"/>
      <c r="C49" s="3"/>
      <c r="D49" s="4"/>
      <c r="E49" s="4"/>
      <c r="F49" s="5"/>
      <c r="G49" s="5"/>
      <c r="H49" s="5"/>
      <c r="I49" s="5"/>
      <c r="J49" s="8"/>
      <c r="K49" s="10" t="str">
        <f t="shared" si="2"/>
        <v/>
      </c>
      <c r="L49" s="8"/>
      <c r="M49" s="13" t="str">
        <f t="shared" si="3"/>
        <v/>
      </c>
      <c r="U49" s="91" t="s">
        <v>119</v>
      </c>
      <c r="V49" s="92" t="s">
        <v>376</v>
      </c>
    </row>
    <row r="50" spans="1:22" x14ac:dyDescent="0.15">
      <c r="A50" s="3"/>
      <c r="B50" s="6"/>
      <c r="C50" s="3"/>
      <c r="D50" s="4"/>
      <c r="E50" s="4"/>
      <c r="F50" s="5"/>
      <c r="G50" s="5"/>
      <c r="H50" s="5"/>
      <c r="I50" s="5"/>
      <c r="J50" s="8"/>
      <c r="K50" s="10" t="str">
        <f t="shared" si="2"/>
        <v/>
      </c>
      <c r="L50" s="8"/>
      <c r="M50" s="13" t="str">
        <f t="shared" si="3"/>
        <v/>
      </c>
      <c r="U50" s="91" t="s">
        <v>120</v>
      </c>
      <c r="V50" s="92"/>
    </row>
    <row r="51" spans="1:22" x14ac:dyDescent="0.15">
      <c r="A51" s="3"/>
      <c r="B51" s="6"/>
      <c r="C51" s="3"/>
      <c r="D51" s="4"/>
      <c r="E51" s="4"/>
      <c r="F51" s="5"/>
      <c r="G51" s="5"/>
      <c r="H51" s="5"/>
      <c r="I51" s="5"/>
      <c r="J51" s="8"/>
      <c r="K51" s="10" t="str">
        <f t="shared" si="2"/>
        <v/>
      </c>
      <c r="L51" s="8"/>
      <c r="M51" s="13" t="str">
        <f t="shared" si="3"/>
        <v/>
      </c>
      <c r="U51" s="91" t="s">
        <v>377</v>
      </c>
      <c r="V51" s="92" t="s">
        <v>378</v>
      </c>
    </row>
    <row r="52" spans="1:22" x14ac:dyDescent="0.15">
      <c r="A52" s="3"/>
      <c r="B52" s="6"/>
      <c r="C52" s="3"/>
      <c r="D52" s="4"/>
      <c r="E52" s="4"/>
      <c r="F52" s="5"/>
      <c r="G52" s="5"/>
      <c r="H52" s="5"/>
      <c r="I52" s="5"/>
      <c r="J52" s="8"/>
      <c r="K52" s="10" t="str">
        <f t="shared" si="2"/>
        <v/>
      </c>
      <c r="L52" s="8"/>
      <c r="M52" s="13" t="str">
        <f t="shared" si="3"/>
        <v/>
      </c>
    </row>
    <row r="53" spans="1:22" x14ac:dyDescent="0.15">
      <c r="A53" s="3"/>
      <c r="B53" s="6"/>
      <c r="C53" s="3"/>
      <c r="D53" s="4"/>
      <c r="E53" s="4"/>
      <c r="F53" s="5"/>
      <c r="G53" s="5"/>
      <c r="H53" s="5"/>
      <c r="I53" s="5"/>
      <c r="J53" s="8"/>
      <c r="K53" s="10" t="str">
        <f t="shared" si="2"/>
        <v/>
      </c>
      <c r="L53" s="8"/>
      <c r="M53" s="13" t="str">
        <f t="shared" si="3"/>
        <v/>
      </c>
    </row>
    <row r="54" spans="1:22" x14ac:dyDescent="0.15">
      <c r="A54" s="3"/>
      <c r="B54" s="6"/>
      <c r="C54" s="3"/>
      <c r="D54" s="4"/>
      <c r="E54" s="4"/>
      <c r="F54" s="5"/>
      <c r="G54" s="5"/>
      <c r="H54" s="5"/>
      <c r="I54" s="5"/>
      <c r="J54" s="8"/>
      <c r="K54" s="10" t="str">
        <f t="shared" si="2"/>
        <v/>
      </c>
      <c r="L54" s="8"/>
      <c r="M54" s="13" t="str">
        <f t="shared" si="3"/>
        <v/>
      </c>
    </row>
    <row r="55" spans="1:22" x14ac:dyDescent="0.15">
      <c r="A55" s="3"/>
      <c r="B55" s="6"/>
      <c r="C55" s="3"/>
      <c r="D55" s="4"/>
      <c r="E55" s="4"/>
      <c r="F55" s="5"/>
      <c r="G55" s="5"/>
      <c r="H55" s="5"/>
      <c r="I55" s="5"/>
      <c r="J55" s="8"/>
      <c r="K55" s="10" t="str">
        <f t="shared" si="2"/>
        <v/>
      </c>
      <c r="L55" s="8"/>
      <c r="M55" s="13" t="str">
        <f t="shared" si="3"/>
        <v/>
      </c>
    </row>
    <row r="56" spans="1:22" x14ac:dyDescent="0.15">
      <c r="A56" s="3"/>
      <c r="B56" s="6"/>
      <c r="C56" s="3"/>
      <c r="D56" s="4"/>
      <c r="E56" s="4"/>
      <c r="F56" s="5"/>
      <c r="G56" s="5"/>
      <c r="H56" s="5"/>
      <c r="I56" s="5"/>
      <c r="J56" s="8"/>
      <c r="K56" s="10" t="str">
        <f t="shared" si="2"/>
        <v/>
      </c>
      <c r="L56" s="8"/>
      <c r="M56" s="13" t="str">
        <f t="shared" si="3"/>
        <v/>
      </c>
    </row>
    <row r="57" spans="1:22" x14ac:dyDescent="0.15">
      <c r="A57" s="3"/>
      <c r="B57" s="6"/>
      <c r="C57" s="3"/>
      <c r="D57" s="4"/>
      <c r="E57" s="4"/>
      <c r="F57" s="5"/>
      <c r="G57" s="5"/>
      <c r="H57" s="5"/>
      <c r="I57" s="5"/>
      <c r="J57" s="8"/>
      <c r="K57" s="10" t="str">
        <f t="shared" si="2"/>
        <v/>
      </c>
      <c r="L57" s="8"/>
      <c r="M57" s="13" t="str">
        <f t="shared" si="3"/>
        <v/>
      </c>
    </row>
    <row r="58" spans="1:22" x14ac:dyDescent="0.15">
      <c r="A58" s="3"/>
      <c r="B58" s="6"/>
      <c r="C58" s="3"/>
      <c r="D58" s="4"/>
      <c r="E58" s="4"/>
      <c r="F58" s="5"/>
      <c r="G58" s="5"/>
      <c r="H58" s="5"/>
      <c r="I58" s="5"/>
      <c r="J58" s="8"/>
      <c r="K58" s="10" t="str">
        <f t="shared" si="2"/>
        <v/>
      </c>
      <c r="L58" s="8"/>
      <c r="M58" s="13" t="str">
        <f t="shared" si="3"/>
        <v/>
      </c>
    </row>
    <row r="59" spans="1:22" x14ac:dyDescent="0.15">
      <c r="A59" s="3"/>
      <c r="B59" s="6"/>
      <c r="C59" s="3"/>
      <c r="D59" s="4"/>
      <c r="E59" s="4"/>
      <c r="F59" s="5"/>
      <c r="G59" s="5"/>
      <c r="H59" s="5"/>
      <c r="I59" s="5"/>
      <c r="J59" s="8"/>
      <c r="K59" s="10" t="str">
        <f t="shared" si="2"/>
        <v/>
      </c>
      <c r="L59" s="8"/>
      <c r="M59" s="13" t="str">
        <f t="shared" si="3"/>
        <v/>
      </c>
    </row>
    <row r="60" spans="1:22" x14ac:dyDescent="0.15">
      <c r="A60" s="3"/>
      <c r="B60" s="6"/>
      <c r="C60" s="3"/>
      <c r="D60" s="4"/>
      <c r="E60" s="4"/>
      <c r="F60" s="5"/>
      <c r="G60" s="5"/>
      <c r="H60" s="5"/>
      <c r="I60" s="5"/>
      <c r="J60" s="8"/>
      <c r="K60" s="10" t="str">
        <f t="shared" si="2"/>
        <v/>
      </c>
      <c r="L60" s="8"/>
      <c r="M60" s="13" t="str">
        <f t="shared" si="3"/>
        <v/>
      </c>
    </row>
    <row r="61" spans="1:22" x14ac:dyDescent="0.15">
      <c r="A61" s="3"/>
      <c r="B61" s="6"/>
      <c r="C61" s="3"/>
      <c r="D61" s="4"/>
      <c r="E61" s="4"/>
      <c r="F61" s="5"/>
      <c r="G61" s="5"/>
      <c r="H61" s="5"/>
      <c r="I61" s="5"/>
      <c r="J61" s="8"/>
      <c r="K61" s="10" t="str">
        <f t="shared" si="2"/>
        <v/>
      </c>
      <c r="L61" s="8"/>
      <c r="M61" s="13" t="str">
        <f t="shared" si="3"/>
        <v/>
      </c>
    </row>
    <row r="62" spans="1:22" x14ac:dyDescent="0.15">
      <c r="A62" s="3"/>
      <c r="B62" s="6"/>
      <c r="C62" s="3"/>
      <c r="D62" s="4"/>
      <c r="E62" s="4"/>
      <c r="F62" s="5"/>
      <c r="G62" s="5"/>
      <c r="H62" s="5"/>
      <c r="I62" s="5"/>
      <c r="J62" s="8"/>
      <c r="K62" s="10" t="str">
        <f t="shared" si="2"/>
        <v/>
      </c>
      <c r="L62" s="8"/>
      <c r="M62" s="13" t="str">
        <f t="shared" si="3"/>
        <v/>
      </c>
    </row>
    <row r="63" spans="1:22" x14ac:dyDescent="0.15">
      <c r="A63" s="3"/>
      <c r="B63" s="6"/>
      <c r="C63" s="3"/>
      <c r="D63" s="4"/>
      <c r="E63" s="4"/>
      <c r="F63" s="5"/>
      <c r="G63" s="5"/>
      <c r="H63" s="5"/>
      <c r="I63" s="5"/>
      <c r="J63" s="8"/>
      <c r="K63" s="10" t="str">
        <f t="shared" si="2"/>
        <v/>
      </c>
      <c r="L63" s="8"/>
      <c r="M63" s="13" t="str">
        <f t="shared" si="3"/>
        <v/>
      </c>
    </row>
    <row r="64" spans="1:22" x14ac:dyDescent="0.15">
      <c r="A64" s="3"/>
      <c r="B64" s="6"/>
      <c r="C64" s="3"/>
      <c r="D64" s="4"/>
      <c r="E64" s="4"/>
      <c r="F64" s="5"/>
      <c r="G64" s="5"/>
      <c r="H64" s="5"/>
      <c r="I64" s="5"/>
      <c r="J64" s="8"/>
      <c r="K64" s="10" t="str">
        <f t="shared" si="2"/>
        <v/>
      </c>
      <c r="L64" s="8"/>
      <c r="M64" s="13" t="str">
        <f t="shared" si="3"/>
        <v/>
      </c>
    </row>
    <row r="65" spans="1:13" x14ac:dyDescent="0.15">
      <c r="A65" s="3"/>
      <c r="B65" s="6"/>
      <c r="C65" s="3"/>
      <c r="D65" s="4"/>
      <c r="E65" s="4"/>
      <c r="F65" s="5"/>
      <c r="G65" s="5"/>
      <c r="H65" s="5"/>
      <c r="I65" s="5"/>
      <c r="J65" s="8"/>
      <c r="K65" s="10" t="str">
        <f t="shared" si="2"/>
        <v/>
      </c>
      <c r="L65" s="8"/>
      <c r="M65" s="13" t="str">
        <f t="shared" si="3"/>
        <v/>
      </c>
    </row>
    <row r="66" spans="1:13" x14ac:dyDescent="0.15">
      <c r="A66" s="3"/>
      <c r="B66" s="6"/>
      <c r="C66" s="3"/>
      <c r="D66" s="4"/>
      <c r="E66" s="4"/>
      <c r="F66" s="5"/>
      <c r="G66" s="5"/>
      <c r="H66" s="5"/>
      <c r="I66" s="5"/>
      <c r="J66" s="8"/>
      <c r="K66" s="10" t="str">
        <f t="shared" si="2"/>
        <v/>
      </c>
      <c r="L66" s="8"/>
      <c r="M66" s="13" t="str">
        <f t="shared" si="3"/>
        <v/>
      </c>
    </row>
    <row r="67" spans="1:13" x14ac:dyDescent="0.15">
      <c r="A67" s="3"/>
      <c r="B67" s="6"/>
      <c r="C67" s="3"/>
      <c r="D67" s="4"/>
      <c r="E67" s="4"/>
      <c r="F67" s="5"/>
      <c r="G67" s="5"/>
      <c r="H67" s="5"/>
      <c r="I67" s="5"/>
      <c r="J67" s="8"/>
      <c r="K67" s="10" t="str">
        <f t="shared" si="2"/>
        <v/>
      </c>
      <c r="L67" s="8"/>
      <c r="M67" s="13" t="str">
        <f t="shared" si="3"/>
        <v/>
      </c>
    </row>
    <row r="68" spans="1:13" x14ac:dyDescent="0.15">
      <c r="A68" s="3"/>
      <c r="B68" s="6"/>
      <c r="C68" s="3"/>
      <c r="D68" s="4"/>
      <c r="E68" s="4"/>
      <c r="F68" s="5"/>
      <c r="G68" s="5"/>
      <c r="H68" s="5"/>
      <c r="I68" s="5"/>
      <c r="J68" s="8"/>
      <c r="K68" s="10" t="str">
        <f>IF(J68="","",VLOOKUP(J68,$S$2:$T$6,2,FALSE))</f>
        <v/>
      </c>
      <c r="L68" s="8"/>
      <c r="M68" s="13" t="str">
        <f>IF(L68="","",VLOOKUP(L68,$U$2:$V$50,2,FALSE))</f>
        <v/>
      </c>
    </row>
    <row r="69" spans="1:13" x14ac:dyDescent="0.15">
      <c r="A69" s="3"/>
      <c r="B69" s="6"/>
      <c r="C69" s="3"/>
      <c r="D69" s="4"/>
      <c r="E69" s="4"/>
      <c r="F69" s="5"/>
      <c r="G69" s="5"/>
      <c r="H69" s="5"/>
      <c r="I69" s="5"/>
      <c r="J69" s="8"/>
      <c r="K69" s="10" t="str">
        <f t="shared" ref="K69:K132" si="4">IF(J69="","",VLOOKUP(J69,$S$2:$T$6,2,FALSE))</f>
        <v/>
      </c>
      <c r="L69" s="8"/>
      <c r="M69" s="13" t="str">
        <f t="shared" ref="M69:M132" si="5">IF(L69="","",VLOOKUP(L69,$U$2:$V$50,2,FALSE))</f>
        <v/>
      </c>
    </row>
    <row r="70" spans="1:13" x14ac:dyDescent="0.15">
      <c r="A70" s="3"/>
      <c r="B70" s="6"/>
      <c r="C70" s="3"/>
      <c r="D70" s="4"/>
      <c r="E70" s="4"/>
      <c r="F70" s="5"/>
      <c r="G70" s="5"/>
      <c r="H70" s="5"/>
      <c r="I70" s="5"/>
      <c r="J70" s="8"/>
      <c r="K70" s="10" t="str">
        <f t="shared" si="4"/>
        <v/>
      </c>
      <c r="L70" s="8"/>
      <c r="M70" s="13" t="str">
        <f t="shared" si="5"/>
        <v/>
      </c>
    </row>
    <row r="71" spans="1:13" x14ac:dyDescent="0.15">
      <c r="A71" s="3"/>
      <c r="B71" s="6"/>
      <c r="C71" s="3"/>
      <c r="D71" s="4"/>
      <c r="E71" s="4"/>
      <c r="F71" s="5"/>
      <c r="G71" s="5"/>
      <c r="H71" s="5"/>
      <c r="I71" s="5"/>
      <c r="J71" s="8"/>
      <c r="K71" s="10" t="str">
        <f t="shared" si="4"/>
        <v/>
      </c>
      <c r="L71" s="8"/>
      <c r="M71" s="13" t="str">
        <f t="shared" si="5"/>
        <v/>
      </c>
    </row>
    <row r="72" spans="1:13" x14ac:dyDescent="0.15">
      <c r="A72" s="3"/>
      <c r="B72" s="6"/>
      <c r="C72" s="3"/>
      <c r="D72" s="4"/>
      <c r="E72" s="4"/>
      <c r="F72" s="5"/>
      <c r="G72" s="5"/>
      <c r="H72" s="5"/>
      <c r="I72" s="5"/>
      <c r="J72" s="8"/>
      <c r="K72" s="10" t="str">
        <f t="shared" si="4"/>
        <v/>
      </c>
      <c r="L72" s="8"/>
      <c r="M72" s="13" t="str">
        <f t="shared" si="5"/>
        <v/>
      </c>
    </row>
    <row r="73" spans="1:13" x14ac:dyDescent="0.15">
      <c r="A73" s="3"/>
      <c r="B73" s="6"/>
      <c r="C73" s="3"/>
      <c r="D73" s="4"/>
      <c r="E73" s="4"/>
      <c r="F73" s="5"/>
      <c r="G73" s="5"/>
      <c r="H73" s="5"/>
      <c r="I73" s="5"/>
      <c r="J73" s="8"/>
      <c r="K73" s="10" t="str">
        <f t="shared" si="4"/>
        <v/>
      </c>
      <c r="L73" s="8"/>
      <c r="M73" s="13" t="str">
        <f t="shared" si="5"/>
        <v/>
      </c>
    </row>
    <row r="74" spans="1:13" x14ac:dyDescent="0.15">
      <c r="A74" s="3"/>
      <c r="B74" s="6"/>
      <c r="C74" s="3"/>
      <c r="D74" s="4"/>
      <c r="E74" s="4"/>
      <c r="F74" s="5"/>
      <c r="G74" s="5"/>
      <c r="H74" s="5"/>
      <c r="I74" s="5"/>
      <c r="J74" s="8"/>
      <c r="K74" s="10" t="str">
        <f t="shared" si="4"/>
        <v/>
      </c>
      <c r="L74" s="8"/>
      <c r="M74" s="13" t="str">
        <f t="shared" si="5"/>
        <v/>
      </c>
    </row>
    <row r="75" spans="1:13" x14ac:dyDescent="0.15">
      <c r="A75" s="3"/>
      <c r="B75" s="6"/>
      <c r="C75" s="3"/>
      <c r="D75" s="4"/>
      <c r="E75" s="4"/>
      <c r="F75" s="5"/>
      <c r="G75" s="5"/>
      <c r="H75" s="5"/>
      <c r="I75" s="5"/>
      <c r="J75" s="8"/>
      <c r="K75" s="10" t="str">
        <f t="shared" si="4"/>
        <v/>
      </c>
      <c r="L75" s="8"/>
      <c r="M75" s="13" t="str">
        <f t="shared" si="5"/>
        <v/>
      </c>
    </row>
    <row r="76" spans="1:13" x14ac:dyDescent="0.15">
      <c r="A76" s="3"/>
      <c r="B76" s="6"/>
      <c r="C76" s="3"/>
      <c r="D76" s="4"/>
      <c r="E76" s="4"/>
      <c r="F76" s="5"/>
      <c r="G76" s="5"/>
      <c r="H76" s="5"/>
      <c r="I76" s="5"/>
      <c r="J76" s="8"/>
      <c r="K76" s="10" t="str">
        <f t="shared" si="4"/>
        <v/>
      </c>
      <c r="L76" s="8"/>
      <c r="M76" s="13" t="str">
        <f t="shared" si="5"/>
        <v/>
      </c>
    </row>
    <row r="77" spans="1:13" x14ac:dyDescent="0.15">
      <c r="A77" s="3"/>
      <c r="B77" s="6"/>
      <c r="C77" s="3"/>
      <c r="D77" s="4"/>
      <c r="E77" s="4"/>
      <c r="F77" s="5"/>
      <c r="G77" s="5"/>
      <c r="H77" s="5"/>
      <c r="I77" s="5"/>
      <c r="J77" s="8"/>
      <c r="K77" s="10" t="str">
        <f t="shared" si="4"/>
        <v/>
      </c>
      <c r="L77" s="8"/>
      <c r="M77" s="13" t="str">
        <f t="shared" si="5"/>
        <v/>
      </c>
    </row>
    <row r="78" spans="1:13" x14ac:dyDescent="0.15">
      <c r="A78" s="3"/>
      <c r="B78" s="6"/>
      <c r="C78" s="3"/>
      <c r="D78" s="4"/>
      <c r="E78" s="4"/>
      <c r="F78" s="5"/>
      <c r="G78" s="5"/>
      <c r="H78" s="5"/>
      <c r="I78" s="5"/>
      <c r="J78" s="8"/>
      <c r="K78" s="10" t="str">
        <f t="shared" si="4"/>
        <v/>
      </c>
      <c r="L78" s="8"/>
      <c r="M78" s="13" t="str">
        <f t="shared" si="5"/>
        <v/>
      </c>
    </row>
    <row r="79" spans="1:13" x14ac:dyDescent="0.15">
      <c r="A79" s="3"/>
      <c r="B79" s="6"/>
      <c r="C79" s="3"/>
      <c r="D79" s="4"/>
      <c r="E79" s="4"/>
      <c r="F79" s="5"/>
      <c r="G79" s="5"/>
      <c r="H79" s="5"/>
      <c r="I79" s="5"/>
      <c r="J79" s="8"/>
      <c r="K79" s="10" t="str">
        <f t="shared" si="4"/>
        <v/>
      </c>
      <c r="L79" s="8"/>
      <c r="M79" s="13" t="str">
        <f t="shared" si="5"/>
        <v/>
      </c>
    </row>
    <row r="80" spans="1:13" x14ac:dyDescent="0.15">
      <c r="A80" s="3"/>
      <c r="B80" s="6"/>
      <c r="C80" s="3"/>
      <c r="D80" s="4"/>
      <c r="E80" s="4"/>
      <c r="F80" s="5"/>
      <c r="G80" s="5"/>
      <c r="H80" s="5"/>
      <c r="I80" s="5"/>
      <c r="J80" s="8"/>
      <c r="K80" s="10" t="str">
        <f t="shared" si="4"/>
        <v/>
      </c>
      <c r="L80" s="8"/>
      <c r="M80" s="13" t="str">
        <f t="shared" si="5"/>
        <v/>
      </c>
    </row>
    <row r="81" spans="1:13" x14ac:dyDescent="0.15">
      <c r="A81" s="3"/>
      <c r="B81" s="6"/>
      <c r="C81" s="3"/>
      <c r="D81" s="4"/>
      <c r="E81" s="4"/>
      <c r="F81" s="5"/>
      <c r="G81" s="5"/>
      <c r="H81" s="5"/>
      <c r="I81" s="5"/>
      <c r="J81" s="8"/>
      <c r="K81" s="10" t="str">
        <f t="shared" si="4"/>
        <v/>
      </c>
      <c r="L81" s="8"/>
      <c r="M81" s="13" t="str">
        <f t="shared" si="5"/>
        <v/>
      </c>
    </row>
    <row r="82" spans="1:13" x14ac:dyDescent="0.15">
      <c r="A82" s="3"/>
      <c r="B82" s="6"/>
      <c r="C82" s="3"/>
      <c r="D82" s="4"/>
      <c r="E82" s="4"/>
      <c r="F82" s="5"/>
      <c r="G82" s="5"/>
      <c r="H82" s="5"/>
      <c r="I82" s="5"/>
      <c r="J82" s="8"/>
      <c r="K82" s="10" t="str">
        <f t="shared" si="4"/>
        <v/>
      </c>
      <c r="L82" s="8"/>
      <c r="M82" s="13" t="str">
        <f t="shared" si="5"/>
        <v/>
      </c>
    </row>
    <row r="83" spans="1:13" x14ac:dyDescent="0.15">
      <c r="A83" s="3"/>
      <c r="B83" s="6"/>
      <c r="C83" s="3"/>
      <c r="D83" s="4"/>
      <c r="E83" s="4"/>
      <c r="F83" s="5"/>
      <c r="G83" s="5"/>
      <c r="H83" s="5"/>
      <c r="I83" s="5"/>
      <c r="J83" s="8"/>
      <c r="K83" s="10" t="str">
        <f t="shared" si="4"/>
        <v/>
      </c>
      <c r="L83" s="8"/>
      <c r="M83" s="13" t="str">
        <f t="shared" si="5"/>
        <v/>
      </c>
    </row>
    <row r="84" spans="1:13" x14ac:dyDescent="0.15">
      <c r="A84" s="3"/>
      <c r="B84" s="6"/>
      <c r="C84" s="3"/>
      <c r="D84" s="4"/>
      <c r="E84" s="4"/>
      <c r="F84" s="5"/>
      <c r="G84" s="5"/>
      <c r="H84" s="5"/>
      <c r="I84" s="5"/>
      <c r="J84" s="8"/>
      <c r="K84" s="10" t="str">
        <f t="shared" si="4"/>
        <v/>
      </c>
      <c r="L84" s="8"/>
      <c r="M84" s="13" t="str">
        <f t="shared" si="5"/>
        <v/>
      </c>
    </row>
    <row r="85" spans="1:13" x14ac:dyDescent="0.15">
      <c r="A85" s="3"/>
      <c r="B85" s="6"/>
      <c r="C85" s="3"/>
      <c r="D85" s="4"/>
      <c r="E85" s="4"/>
      <c r="F85" s="5"/>
      <c r="G85" s="5"/>
      <c r="H85" s="5"/>
      <c r="I85" s="5"/>
      <c r="J85" s="8"/>
      <c r="K85" s="10" t="str">
        <f t="shared" si="4"/>
        <v/>
      </c>
      <c r="L85" s="8"/>
      <c r="M85" s="13" t="str">
        <f t="shared" si="5"/>
        <v/>
      </c>
    </row>
    <row r="86" spans="1:13" x14ac:dyDescent="0.15">
      <c r="A86" s="3"/>
      <c r="B86" s="6"/>
      <c r="C86" s="3"/>
      <c r="D86" s="4"/>
      <c r="E86" s="4"/>
      <c r="F86" s="5"/>
      <c r="G86" s="5"/>
      <c r="H86" s="5"/>
      <c r="I86" s="5"/>
      <c r="J86" s="8"/>
      <c r="K86" s="10" t="str">
        <f t="shared" si="4"/>
        <v/>
      </c>
      <c r="L86" s="8"/>
      <c r="M86" s="13" t="str">
        <f t="shared" si="5"/>
        <v/>
      </c>
    </row>
    <row r="87" spans="1:13" x14ac:dyDescent="0.15">
      <c r="A87" s="3"/>
      <c r="B87" s="6"/>
      <c r="C87" s="3"/>
      <c r="D87" s="4"/>
      <c r="E87" s="4"/>
      <c r="F87" s="5"/>
      <c r="G87" s="5"/>
      <c r="H87" s="5"/>
      <c r="I87" s="5"/>
      <c r="J87" s="8"/>
      <c r="K87" s="10" t="str">
        <f t="shared" si="4"/>
        <v/>
      </c>
      <c r="L87" s="8"/>
      <c r="M87" s="13" t="str">
        <f t="shared" si="5"/>
        <v/>
      </c>
    </row>
    <row r="88" spans="1:13" x14ac:dyDescent="0.15">
      <c r="A88" s="3"/>
      <c r="B88" s="6"/>
      <c r="C88" s="3"/>
      <c r="D88" s="4"/>
      <c r="E88" s="4"/>
      <c r="F88" s="5"/>
      <c r="G88" s="5"/>
      <c r="H88" s="5"/>
      <c r="I88" s="5"/>
      <c r="J88" s="8"/>
      <c r="K88" s="10" t="str">
        <f t="shared" si="4"/>
        <v/>
      </c>
      <c r="L88" s="8"/>
      <c r="M88" s="13" t="str">
        <f t="shared" si="5"/>
        <v/>
      </c>
    </row>
    <row r="89" spans="1:13" x14ac:dyDescent="0.15">
      <c r="A89" s="3"/>
      <c r="B89" s="6"/>
      <c r="C89" s="3"/>
      <c r="D89" s="4"/>
      <c r="E89" s="4"/>
      <c r="F89" s="5"/>
      <c r="G89" s="5"/>
      <c r="H89" s="5"/>
      <c r="I89" s="5"/>
      <c r="J89" s="8"/>
      <c r="K89" s="10" t="str">
        <f t="shared" si="4"/>
        <v/>
      </c>
      <c r="L89" s="8"/>
      <c r="M89" s="13" t="str">
        <f t="shared" si="5"/>
        <v/>
      </c>
    </row>
    <row r="90" spans="1:13" x14ac:dyDescent="0.15">
      <c r="A90" s="3"/>
      <c r="B90" s="6"/>
      <c r="C90" s="3"/>
      <c r="D90" s="4"/>
      <c r="E90" s="4"/>
      <c r="F90" s="5"/>
      <c r="G90" s="5"/>
      <c r="H90" s="5"/>
      <c r="I90" s="5"/>
      <c r="J90" s="8"/>
      <c r="K90" s="10" t="str">
        <f t="shared" si="4"/>
        <v/>
      </c>
      <c r="L90" s="8"/>
      <c r="M90" s="13" t="str">
        <f t="shared" si="5"/>
        <v/>
      </c>
    </row>
    <row r="91" spans="1:13" x14ac:dyDescent="0.15">
      <c r="A91" s="3"/>
      <c r="B91" s="6"/>
      <c r="C91" s="3"/>
      <c r="D91" s="4"/>
      <c r="E91" s="4"/>
      <c r="F91" s="5"/>
      <c r="G91" s="5"/>
      <c r="H91" s="5"/>
      <c r="I91" s="5"/>
      <c r="J91" s="8"/>
      <c r="K91" s="10" t="str">
        <f t="shared" si="4"/>
        <v/>
      </c>
      <c r="L91" s="8"/>
      <c r="M91" s="13" t="str">
        <f t="shared" si="5"/>
        <v/>
      </c>
    </row>
    <row r="92" spans="1:13" x14ac:dyDescent="0.15">
      <c r="A92" s="3"/>
      <c r="B92" s="6"/>
      <c r="C92" s="3"/>
      <c r="D92" s="4"/>
      <c r="E92" s="4"/>
      <c r="F92" s="5"/>
      <c r="G92" s="5"/>
      <c r="H92" s="5"/>
      <c r="I92" s="5"/>
      <c r="J92" s="8"/>
      <c r="K92" s="10" t="str">
        <f t="shared" si="4"/>
        <v/>
      </c>
      <c r="L92" s="8"/>
      <c r="M92" s="13" t="str">
        <f t="shared" si="5"/>
        <v/>
      </c>
    </row>
    <row r="93" spans="1:13" x14ac:dyDescent="0.15">
      <c r="A93" s="3"/>
      <c r="B93" s="6"/>
      <c r="C93" s="3"/>
      <c r="D93" s="4"/>
      <c r="E93" s="4"/>
      <c r="F93" s="5"/>
      <c r="G93" s="5"/>
      <c r="H93" s="5"/>
      <c r="I93" s="5"/>
      <c r="J93" s="8"/>
      <c r="K93" s="10" t="str">
        <f t="shared" si="4"/>
        <v/>
      </c>
      <c r="L93" s="8"/>
      <c r="M93" s="13" t="str">
        <f t="shared" si="5"/>
        <v/>
      </c>
    </row>
    <row r="94" spans="1:13" x14ac:dyDescent="0.15">
      <c r="A94" s="3"/>
      <c r="B94" s="6"/>
      <c r="C94" s="3"/>
      <c r="D94" s="4"/>
      <c r="E94" s="4"/>
      <c r="F94" s="5"/>
      <c r="G94" s="5"/>
      <c r="H94" s="5"/>
      <c r="I94" s="5"/>
      <c r="J94" s="8"/>
      <c r="K94" s="10" t="str">
        <f t="shared" si="4"/>
        <v/>
      </c>
      <c r="L94" s="8"/>
      <c r="M94" s="13" t="str">
        <f t="shared" si="5"/>
        <v/>
      </c>
    </row>
    <row r="95" spans="1:13" x14ac:dyDescent="0.15">
      <c r="A95" s="3"/>
      <c r="B95" s="6"/>
      <c r="C95" s="3"/>
      <c r="D95" s="4"/>
      <c r="E95" s="4"/>
      <c r="F95" s="5"/>
      <c r="G95" s="5"/>
      <c r="H95" s="5"/>
      <c r="I95" s="5"/>
      <c r="J95" s="8"/>
      <c r="K95" s="10" t="str">
        <f t="shared" si="4"/>
        <v/>
      </c>
      <c r="L95" s="8"/>
      <c r="M95" s="13" t="str">
        <f t="shared" si="5"/>
        <v/>
      </c>
    </row>
    <row r="96" spans="1:13" x14ac:dyDescent="0.15">
      <c r="A96" s="3"/>
      <c r="B96" s="6"/>
      <c r="C96" s="3"/>
      <c r="D96" s="4"/>
      <c r="E96" s="4"/>
      <c r="F96" s="5"/>
      <c r="G96" s="5"/>
      <c r="H96" s="5"/>
      <c r="I96" s="5"/>
      <c r="J96" s="8"/>
      <c r="K96" s="10" t="str">
        <f t="shared" si="4"/>
        <v/>
      </c>
      <c r="L96" s="8"/>
      <c r="M96" s="13" t="str">
        <f t="shared" si="5"/>
        <v/>
      </c>
    </row>
    <row r="97" spans="1:13" x14ac:dyDescent="0.15">
      <c r="A97" s="3"/>
      <c r="B97" s="6"/>
      <c r="C97" s="3"/>
      <c r="D97" s="4"/>
      <c r="E97" s="4"/>
      <c r="F97" s="5"/>
      <c r="G97" s="5"/>
      <c r="H97" s="5"/>
      <c r="I97" s="5"/>
      <c r="J97" s="8"/>
      <c r="K97" s="10" t="str">
        <f t="shared" si="4"/>
        <v/>
      </c>
      <c r="L97" s="8"/>
      <c r="M97" s="13" t="str">
        <f t="shared" si="5"/>
        <v/>
      </c>
    </row>
    <row r="98" spans="1:13" x14ac:dyDescent="0.15">
      <c r="A98" s="3"/>
      <c r="B98" s="6"/>
      <c r="C98" s="3"/>
      <c r="D98" s="4"/>
      <c r="E98" s="4"/>
      <c r="F98" s="5"/>
      <c r="G98" s="5"/>
      <c r="H98" s="5"/>
      <c r="I98" s="5"/>
      <c r="J98" s="8"/>
      <c r="K98" s="10" t="str">
        <f t="shared" si="4"/>
        <v/>
      </c>
      <c r="L98" s="8"/>
      <c r="M98" s="13" t="str">
        <f t="shared" si="5"/>
        <v/>
      </c>
    </row>
    <row r="99" spans="1:13" x14ac:dyDescent="0.15">
      <c r="A99" s="3"/>
      <c r="B99" s="6"/>
      <c r="C99" s="3"/>
      <c r="D99" s="4"/>
      <c r="E99" s="4"/>
      <c r="F99" s="5"/>
      <c r="G99" s="5"/>
      <c r="H99" s="5"/>
      <c r="I99" s="5"/>
      <c r="J99" s="8"/>
      <c r="K99" s="10" t="str">
        <f t="shared" si="4"/>
        <v/>
      </c>
      <c r="L99" s="8"/>
      <c r="M99" s="13" t="str">
        <f t="shared" si="5"/>
        <v/>
      </c>
    </row>
    <row r="100" spans="1:13" x14ac:dyDescent="0.15">
      <c r="A100" s="3"/>
      <c r="B100" s="6"/>
      <c r="C100" s="3"/>
      <c r="D100" s="4"/>
      <c r="E100" s="4"/>
      <c r="F100" s="5"/>
      <c r="G100" s="5"/>
      <c r="H100" s="5"/>
      <c r="I100" s="5"/>
      <c r="J100" s="8"/>
      <c r="K100" s="10" t="str">
        <f t="shared" si="4"/>
        <v/>
      </c>
      <c r="L100" s="8"/>
      <c r="M100" s="13" t="str">
        <f t="shared" si="5"/>
        <v/>
      </c>
    </row>
    <row r="101" spans="1:13" x14ac:dyDescent="0.15">
      <c r="A101" s="3"/>
      <c r="B101" s="6"/>
      <c r="C101" s="3"/>
      <c r="D101" s="4"/>
      <c r="E101" s="4"/>
      <c r="F101" s="5"/>
      <c r="G101" s="5"/>
      <c r="H101" s="5"/>
      <c r="I101" s="5"/>
      <c r="J101" s="8"/>
      <c r="K101" s="10" t="str">
        <f t="shared" si="4"/>
        <v/>
      </c>
      <c r="L101" s="8"/>
      <c r="M101" s="13" t="str">
        <f t="shared" si="5"/>
        <v/>
      </c>
    </row>
    <row r="102" spans="1:13" x14ac:dyDescent="0.15">
      <c r="A102" s="3"/>
      <c r="B102" s="6"/>
      <c r="C102" s="3"/>
      <c r="D102" s="4"/>
      <c r="E102" s="4"/>
      <c r="F102" s="5"/>
      <c r="G102" s="5"/>
      <c r="H102" s="5"/>
      <c r="I102" s="5"/>
      <c r="J102" s="8"/>
      <c r="K102" s="10" t="str">
        <f t="shared" si="4"/>
        <v/>
      </c>
      <c r="L102" s="8"/>
      <c r="M102" s="13" t="str">
        <f t="shared" si="5"/>
        <v/>
      </c>
    </row>
    <row r="103" spans="1:13" x14ac:dyDescent="0.15">
      <c r="A103" s="3"/>
      <c r="B103" s="6"/>
      <c r="C103" s="3"/>
      <c r="D103" s="4"/>
      <c r="E103" s="4"/>
      <c r="F103" s="5"/>
      <c r="G103" s="5"/>
      <c r="H103" s="5"/>
      <c r="I103" s="5"/>
      <c r="J103" s="8"/>
      <c r="K103" s="10" t="str">
        <f t="shared" si="4"/>
        <v/>
      </c>
      <c r="L103" s="8"/>
      <c r="M103" s="13" t="str">
        <f t="shared" si="5"/>
        <v/>
      </c>
    </row>
    <row r="104" spans="1:13" x14ac:dyDescent="0.15">
      <c r="A104" s="3"/>
      <c r="B104" s="6"/>
      <c r="C104" s="3"/>
      <c r="D104" s="4"/>
      <c r="E104" s="4"/>
      <c r="F104" s="5"/>
      <c r="G104" s="5"/>
      <c r="H104" s="5"/>
      <c r="I104" s="5"/>
      <c r="J104" s="8"/>
      <c r="K104" s="10" t="str">
        <f t="shared" si="4"/>
        <v/>
      </c>
      <c r="L104" s="8"/>
      <c r="M104" s="13" t="str">
        <f t="shared" si="5"/>
        <v/>
      </c>
    </row>
    <row r="105" spans="1:13" x14ac:dyDescent="0.15">
      <c r="A105" s="3"/>
      <c r="B105" s="6"/>
      <c r="C105" s="3"/>
      <c r="D105" s="4"/>
      <c r="E105" s="4"/>
      <c r="F105" s="5"/>
      <c r="G105" s="5"/>
      <c r="H105" s="5"/>
      <c r="I105" s="5"/>
      <c r="J105" s="8"/>
      <c r="K105" s="10" t="str">
        <f t="shared" si="4"/>
        <v/>
      </c>
      <c r="L105" s="8"/>
      <c r="M105" s="13" t="str">
        <f t="shared" si="5"/>
        <v/>
      </c>
    </row>
    <row r="106" spans="1:13" x14ac:dyDescent="0.15">
      <c r="A106" s="3"/>
      <c r="B106" s="6"/>
      <c r="C106" s="3"/>
      <c r="D106" s="4"/>
      <c r="E106" s="4"/>
      <c r="F106" s="5"/>
      <c r="G106" s="5"/>
      <c r="H106" s="5"/>
      <c r="I106" s="5"/>
      <c r="J106" s="8"/>
      <c r="K106" s="10" t="str">
        <f t="shared" si="4"/>
        <v/>
      </c>
      <c r="L106" s="8"/>
      <c r="M106" s="13" t="str">
        <f t="shared" si="5"/>
        <v/>
      </c>
    </row>
    <row r="107" spans="1:13" x14ac:dyDescent="0.15">
      <c r="A107" s="3"/>
      <c r="B107" s="6"/>
      <c r="C107" s="3"/>
      <c r="D107" s="4"/>
      <c r="E107" s="4"/>
      <c r="F107" s="5"/>
      <c r="G107" s="5"/>
      <c r="H107" s="5"/>
      <c r="I107" s="5"/>
      <c r="J107" s="8"/>
      <c r="K107" s="10" t="str">
        <f t="shared" si="4"/>
        <v/>
      </c>
      <c r="L107" s="8"/>
      <c r="M107" s="13" t="str">
        <f t="shared" si="5"/>
        <v/>
      </c>
    </row>
    <row r="108" spans="1:13" x14ac:dyDescent="0.15">
      <c r="A108" s="3"/>
      <c r="B108" s="6"/>
      <c r="C108" s="3"/>
      <c r="D108" s="4"/>
      <c r="E108" s="4"/>
      <c r="F108" s="5"/>
      <c r="G108" s="5"/>
      <c r="H108" s="5"/>
      <c r="I108" s="5"/>
      <c r="J108" s="8"/>
      <c r="K108" s="10" t="str">
        <f t="shared" si="4"/>
        <v/>
      </c>
      <c r="L108" s="8"/>
      <c r="M108" s="13" t="str">
        <f t="shared" si="5"/>
        <v/>
      </c>
    </row>
    <row r="109" spans="1:13" x14ac:dyDescent="0.15">
      <c r="A109" s="3"/>
      <c r="B109" s="6"/>
      <c r="C109" s="3"/>
      <c r="D109" s="4"/>
      <c r="E109" s="4"/>
      <c r="F109" s="5"/>
      <c r="G109" s="5"/>
      <c r="H109" s="5"/>
      <c r="I109" s="5"/>
      <c r="J109" s="8"/>
      <c r="K109" s="10" t="str">
        <f t="shared" si="4"/>
        <v/>
      </c>
      <c r="L109" s="8"/>
      <c r="M109" s="13" t="str">
        <f t="shared" si="5"/>
        <v/>
      </c>
    </row>
    <row r="110" spans="1:13" x14ac:dyDescent="0.15">
      <c r="A110" s="3"/>
      <c r="B110" s="6"/>
      <c r="C110" s="3"/>
      <c r="D110" s="4"/>
      <c r="E110" s="4"/>
      <c r="F110" s="5"/>
      <c r="G110" s="5"/>
      <c r="H110" s="5"/>
      <c r="I110" s="5"/>
      <c r="J110" s="8"/>
      <c r="K110" s="10" t="str">
        <f t="shared" si="4"/>
        <v/>
      </c>
      <c r="L110" s="8"/>
      <c r="M110" s="13" t="str">
        <f t="shared" si="5"/>
        <v/>
      </c>
    </row>
    <row r="111" spans="1:13" x14ac:dyDescent="0.15">
      <c r="A111" s="3"/>
      <c r="B111" s="6"/>
      <c r="C111" s="3"/>
      <c r="D111" s="4"/>
      <c r="E111" s="4"/>
      <c r="F111" s="5"/>
      <c r="G111" s="5"/>
      <c r="H111" s="5"/>
      <c r="I111" s="5"/>
      <c r="J111" s="8"/>
      <c r="K111" s="10" t="str">
        <f t="shared" si="4"/>
        <v/>
      </c>
      <c r="L111" s="8"/>
      <c r="M111" s="13" t="str">
        <f t="shared" si="5"/>
        <v/>
      </c>
    </row>
    <row r="112" spans="1:13" x14ac:dyDescent="0.15">
      <c r="A112" s="3"/>
      <c r="B112" s="6"/>
      <c r="C112" s="3"/>
      <c r="D112" s="4"/>
      <c r="E112" s="4"/>
      <c r="F112" s="5"/>
      <c r="G112" s="5"/>
      <c r="H112" s="5"/>
      <c r="I112" s="5"/>
      <c r="J112" s="8"/>
      <c r="K112" s="10" t="str">
        <f t="shared" si="4"/>
        <v/>
      </c>
      <c r="L112" s="8"/>
      <c r="M112" s="13" t="str">
        <f t="shared" si="5"/>
        <v/>
      </c>
    </row>
    <row r="113" spans="1:13" x14ac:dyDescent="0.15">
      <c r="A113" s="3"/>
      <c r="B113" s="6"/>
      <c r="C113" s="3"/>
      <c r="D113" s="4"/>
      <c r="E113" s="4"/>
      <c r="F113" s="5"/>
      <c r="G113" s="5"/>
      <c r="H113" s="5"/>
      <c r="I113" s="5"/>
      <c r="J113" s="8"/>
      <c r="K113" s="10" t="str">
        <f t="shared" si="4"/>
        <v/>
      </c>
      <c r="L113" s="8"/>
      <c r="M113" s="13" t="str">
        <f t="shared" si="5"/>
        <v/>
      </c>
    </row>
    <row r="114" spans="1:13" x14ac:dyDescent="0.15">
      <c r="A114" s="3"/>
      <c r="B114" s="6"/>
      <c r="C114" s="3"/>
      <c r="D114" s="4"/>
      <c r="E114" s="4"/>
      <c r="F114" s="5"/>
      <c r="G114" s="5"/>
      <c r="H114" s="5"/>
      <c r="I114" s="5"/>
      <c r="J114" s="8"/>
      <c r="K114" s="10" t="str">
        <f t="shared" si="4"/>
        <v/>
      </c>
      <c r="L114" s="8"/>
      <c r="M114" s="13" t="str">
        <f t="shared" si="5"/>
        <v/>
      </c>
    </row>
    <row r="115" spans="1:13" x14ac:dyDescent="0.15">
      <c r="A115" s="3"/>
      <c r="B115" s="6"/>
      <c r="C115" s="3"/>
      <c r="D115" s="4"/>
      <c r="E115" s="4"/>
      <c r="F115" s="5"/>
      <c r="G115" s="5"/>
      <c r="H115" s="5"/>
      <c r="I115" s="5"/>
      <c r="J115" s="8"/>
      <c r="K115" s="10" t="str">
        <f t="shared" si="4"/>
        <v/>
      </c>
      <c r="L115" s="8"/>
      <c r="M115" s="13" t="str">
        <f t="shared" si="5"/>
        <v/>
      </c>
    </row>
    <row r="116" spans="1:13" x14ac:dyDescent="0.15">
      <c r="A116" s="3"/>
      <c r="B116" s="6"/>
      <c r="C116" s="3"/>
      <c r="D116" s="4"/>
      <c r="E116" s="4"/>
      <c r="F116" s="5"/>
      <c r="G116" s="5"/>
      <c r="H116" s="5"/>
      <c r="I116" s="5"/>
      <c r="J116" s="8"/>
      <c r="K116" s="10" t="str">
        <f t="shared" si="4"/>
        <v/>
      </c>
      <c r="L116" s="8"/>
      <c r="M116" s="13" t="str">
        <f t="shared" si="5"/>
        <v/>
      </c>
    </row>
    <row r="117" spans="1:13" x14ac:dyDescent="0.15">
      <c r="A117" s="3"/>
      <c r="B117" s="6"/>
      <c r="C117" s="3"/>
      <c r="D117" s="4"/>
      <c r="E117" s="4"/>
      <c r="F117" s="5"/>
      <c r="G117" s="5"/>
      <c r="H117" s="5"/>
      <c r="I117" s="5"/>
      <c r="J117" s="8"/>
      <c r="K117" s="10" t="str">
        <f t="shared" si="4"/>
        <v/>
      </c>
      <c r="L117" s="8"/>
      <c r="M117" s="13" t="str">
        <f t="shared" si="5"/>
        <v/>
      </c>
    </row>
    <row r="118" spans="1:13" x14ac:dyDescent="0.15">
      <c r="A118" s="3"/>
      <c r="B118" s="6"/>
      <c r="C118" s="3"/>
      <c r="D118" s="4"/>
      <c r="E118" s="4"/>
      <c r="F118" s="5"/>
      <c r="G118" s="5"/>
      <c r="H118" s="5"/>
      <c r="I118" s="5"/>
      <c r="J118" s="8"/>
      <c r="K118" s="10" t="str">
        <f t="shared" si="4"/>
        <v/>
      </c>
      <c r="L118" s="8"/>
      <c r="M118" s="13" t="str">
        <f t="shared" si="5"/>
        <v/>
      </c>
    </row>
    <row r="119" spans="1:13" x14ac:dyDescent="0.15">
      <c r="A119" s="3"/>
      <c r="B119" s="6"/>
      <c r="C119" s="3"/>
      <c r="D119" s="4"/>
      <c r="E119" s="4"/>
      <c r="F119" s="5"/>
      <c r="G119" s="5"/>
      <c r="H119" s="5"/>
      <c r="I119" s="5"/>
      <c r="J119" s="8"/>
      <c r="K119" s="10" t="str">
        <f t="shared" si="4"/>
        <v/>
      </c>
      <c r="L119" s="8"/>
      <c r="M119" s="13" t="str">
        <f t="shared" si="5"/>
        <v/>
      </c>
    </row>
    <row r="120" spans="1:13" x14ac:dyDescent="0.15">
      <c r="A120" s="3"/>
      <c r="B120" s="6"/>
      <c r="C120" s="3"/>
      <c r="D120" s="4"/>
      <c r="E120" s="4"/>
      <c r="F120" s="5"/>
      <c r="G120" s="5"/>
      <c r="H120" s="5"/>
      <c r="I120" s="5"/>
      <c r="J120" s="8"/>
      <c r="K120" s="10" t="str">
        <f t="shared" si="4"/>
        <v/>
      </c>
      <c r="L120" s="8"/>
      <c r="M120" s="13" t="str">
        <f t="shared" si="5"/>
        <v/>
      </c>
    </row>
    <row r="121" spans="1:13" x14ac:dyDescent="0.15">
      <c r="A121" s="3"/>
      <c r="B121" s="6"/>
      <c r="C121" s="3"/>
      <c r="D121" s="4"/>
      <c r="E121" s="4"/>
      <c r="F121" s="5"/>
      <c r="G121" s="5"/>
      <c r="H121" s="5"/>
      <c r="I121" s="5"/>
      <c r="J121" s="8"/>
      <c r="K121" s="10" t="str">
        <f t="shared" si="4"/>
        <v/>
      </c>
      <c r="L121" s="8"/>
      <c r="M121" s="13" t="str">
        <f t="shared" si="5"/>
        <v/>
      </c>
    </row>
    <row r="122" spans="1:13" x14ac:dyDescent="0.15">
      <c r="A122" s="3"/>
      <c r="B122" s="6"/>
      <c r="C122" s="3"/>
      <c r="D122" s="4"/>
      <c r="E122" s="4"/>
      <c r="F122" s="5"/>
      <c r="G122" s="5"/>
      <c r="H122" s="5"/>
      <c r="I122" s="5"/>
      <c r="J122" s="8"/>
      <c r="K122" s="10" t="str">
        <f t="shared" si="4"/>
        <v/>
      </c>
      <c r="L122" s="8"/>
      <c r="M122" s="13" t="str">
        <f t="shared" si="5"/>
        <v/>
      </c>
    </row>
    <row r="123" spans="1:13" x14ac:dyDescent="0.15">
      <c r="A123" s="3"/>
      <c r="B123" s="6"/>
      <c r="C123" s="3"/>
      <c r="D123" s="4"/>
      <c r="E123" s="4"/>
      <c r="F123" s="5"/>
      <c r="G123" s="5"/>
      <c r="H123" s="5"/>
      <c r="I123" s="5"/>
      <c r="J123" s="8"/>
      <c r="K123" s="10" t="str">
        <f t="shared" si="4"/>
        <v/>
      </c>
      <c r="L123" s="8"/>
      <c r="M123" s="13" t="str">
        <f t="shared" si="5"/>
        <v/>
      </c>
    </row>
    <row r="124" spans="1:13" x14ac:dyDescent="0.15">
      <c r="A124" s="3"/>
      <c r="B124" s="6"/>
      <c r="C124" s="3"/>
      <c r="D124" s="4"/>
      <c r="E124" s="4"/>
      <c r="F124" s="5"/>
      <c r="G124" s="5"/>
      <c r="H124" s="5"/>
      <c r="I124" s="5"/>
      <c r="J124" s="8"/>
      <c r="K124" s="10" t="str">
        <f t="shared" si="4"/>
        <v/>
      </c>
      <c r="L124" s="8"/>
      <c r="M124" s="13" t="str">
        <f t="shared" si="5"/>
        <v/>
      </c>
    </row>
    <row r="125" spans="1:13" x14ac:dyDescent="0.15">
      <c r="A125" s="3"/>
      <c r="B125" s="6"/>
      <c r="C125" s="3"/>
      <c r="D125" s="4"/>
      <c r="E125" s="4"/>
      <c r="F125" s="5"/>
      <c r="G125" s="5"/>
      <c r="H125" s="5"/>
      <c r="I125" s="5"/>
      <c r="J125" s="8"/>
      <c r="K125" s="10" t="str">
        <f t="shared" si="4"/>
        <v/>
      </c>
      <c r="L125" s="8"/>
      <c r="M125" s="13" t="str">
        <f t="shared" si="5"/>
        <v/>
      </c>
    </row>
    <row r="126" spans="1:13" x14ac:dyDescent="0.15">
      <c r="A126" s="3"/>
      <c r="B126" s="6"/>
      <c r="C126" s="3"/>
      <c r="D126" s="4"/>
      <c r="E126" s="4"/>
      <c r="F126" s="5"/>
      <c r="G126" s="5"/>
      <c r="H126" s="5"/>
      <c r="I126" s="5"/>
      <c r="J126" s="8"/>
      <c r="K126" s="10" t="str">
        <f t="shared" si="4"/>
        <v/>
      </c>
      <c r="L126" s="8"/>
      <c r="M126" s="13" t="str">
        <f t="shared" si="5"/>
        <v/>
      </c>
    </row>
    <row r="127" spans="1:13" x14ac:dyDescent="0.15">
      <c r="A127" s="3"/>
      <c r="B127" s="6"/>
      <c r="C127" s="3"/>
      <c r="D127" s="4"/>
      <c r="E127" s="4"/>
      <c r="F127" s="5"/>
      <c r="G127" s="5"/>
      <c r="H127" s="5"/>
      <c r="I127" s="5"/>
      <c r="J127" s="8"/>
      <c r="K127" s="10" t="str">
        <f t="shared" si="4"/>
        <v/>
      </c>
      <c r="L127" s="8"/>
      <c r="M127" s="13" t="str">
        <f t="shared" si="5"/>
        <v/>
      </c>
    </row>
    <row r="128" spans="1:13" x14ac:dyDescent="0.15">
      <c r="A128" s="3"/>
      <c r="B128" s="6"/>
      <c r="C128" s="3"/>
      <c r="D128" s="4"/>
      <c r="E128" s="4"/>
      <c r="F128" s="5"/>
      <c r="G128" s="5"/>
      <c r="H128" s="5"/>
      <c r="I128" s="5"/>
      <c r="J128" s="8"/>
      <c r="K128" s="10" t="str">
        <f t="shared" si="4"/>
        <v/>
      </c>
      <c r="L128" s="8"/>
      <c r="M128" s="13" t="str">
        <f t="shared" si="5"/>
        <v/>
      </c>
    </row>
    <row r="129" spans="1:13" x14ac:dyDescent="0.15">
      <c r="A129" s="3"/>
      <c r="B129" s="6"/>
      <c r="C129" s="3"/>
      <c r="D129" s="4"/>
      <c r="E129" s="4"/>
      <c r="F129" s="5"/>
      <c r="G129" s="5"/>
      <c r="H129" s="5"/>
      <c r="I129" s="5"/>
      <c r="J129" s="8"/>
      <c r="K129" s="10" t="str">
        <f t="shared" si="4"/>
        <v/>
      </c>
      <c r="L129" s="8"/>
      <c r="M129" s="13" t="str">
        <f t="shared" si="5"/>
        <v/>
      </c>
    </row>
    <row r="130" spans="1:13" x14ac:dyDescent="0.15">
      <c r="A130" s="3"/>
      <c r="B130" s="6"/>
      <c r="C130" s="3"/>
      <c r="D130" s="4"/>
      <c r="E130" s="4"/>
      <c r="F130" s="5"/>
      <c r="G130" s="5"/>
      <c r="H130" s="5"/>
      <c r="I130" s="5"/>
      <c r="J130" s="8"/>
      <c r="K130" s="10" t="str">
        <f t="shared" si="4"/>
        <v/>
      </c>
      <c r="L130" s="8"/>
      <c r="M130" s="13" t="str">
        <f t="shared" si="5"/>
        <v/>
      </c>
    </row>
    <row r="131" spans="1:13" x14ac:dyDescent="0.15">
      <c r="A131" s="3"/>
      <c r="B131" s="6"/>
      <c r="C131" s="3"/>
      <c r="D131" s="4"/>
      <c r="E131" s="4"/>
      <c r="F131" s="5"/>
      <c r="G131" s="5"/>
      <c r="H131" s="5"/>
      <c r="I131" s="5"/>
      <c r="J131" s="8"/>
      <c r="K131" s="10" t="str">
        <f t="shared" si="4"/>
        <v/>
      </c>
      <c r="L131" s="8"/>
      <c r="M131" s="13" t="str">
        <f t="shared" si="5"/>
        <v/>
      </c>
    </row>
    <row r="132" spans="1:13" x14ac:dyDescent="0.15">
      <c r="A132" s="3"/>
      <c r="B132" s="6"/>
      <c r="C132" s="3"/>
      <c r="D132" s="4"/>
      <c r="E132" s="4"/>
      <c r="F132" s="5"/>
      <c r="G132" s="5"/>
      <c r="H132" s="5"/>
      <c r="I132" s="5"/>
      <c r="J132" s="8"/>
      <c r="K132" s="10" t="str">
        <f t="shared" si="4"/>
        <v/>
      </c>
      <c r="L132" s="8"/>
      <c r="M132" s="13" t="str">
        <f t="shared" si="5"/>
        <v/>
      </c>
    </row>
    <row r="133" spans="1:13" x14ac:dyDescent="0.15">
      <c r="A133" s="3"/>
      <c r="B133" s="6"/>
      <c r="C133" s="3"/>
      <c r="D133" s="4"/>
      <c r="E133" s="4"/>
      <c r="F133" s="5"/>
      <c r="G133" s="5"/>
      <c r="H133" s="5"/>
      <c r="I133" s="5"/>
      <c r="J133" s="8"/>
      <c r="K133" s="10" t="str">
        <f t="shared" ref="K133:K152" si="6">IF(J133="","",VLOOKUP(J133,$S$2:$T$6,2,FALSE))</f>
        <v/>
      </c>
      <c r="L133" s="8"/>
      <c r="M133" s="13" t="str">
        <f t="shared" ref="M133:M152" si="7">IF(L133="","",VLOOKUP(L133,$U$2:$V$50,2,FALSE))</f>
        <v/>
      </c>
    </row>
    <row r="134" spans="1:13" x14ac:dyDescent="0.15">
      <c r="A134" s="3"/>
      <c r="B134" s="6"/>
      <c r="C134" s="3"/>
      <c r="D134" s="4"/>
      <c r="E134" s="4"/>
      <c r="F134" s="5"/>
      <c r="G134" s="5"/>
      <c r="H134" s="5"/>
      <c r="I134" s="5"/>
      <c r="J134" s="8"/>
      <c r="K134" s="10" t="str">
        <f t="shared" si="6"/>
        <v/>
      </c>
      <c r="L134" s="8"/>
      <c r="M134" s="13" t="str">
        <f t="shared" si="7"/>
        <v/>
      </c>
    </row>
    <row r="135" spans="1:13" x14ac:dyDescent="0.15">
      <c r="A135" s="3"/>
      <c r="B135" s="6"/>
      <c r="C135" s="3"/>
      <c r="D135" s="4"/>
      <c r="E135" s="4"/>
      <c r="F135" s="5"/>
      <c r="G135" s="5"/>
      <c r="H135" s="5"/>
      <c r="I135" s="5"/>
      <c r="J135" s="8"/>
      <c r="K135" s="10" t="str">
        <f t="shared" si="6"/>
        <v/>
      </c>
      <c r="L135" s="8"/>
      <c r="M135" s="13" t="str">
        <f t="shared" si="7"/>
        <v/>
      </c>
    </row>
    <row r="136" spans="1:13" x14ac:dyDescent="0.15">
      <c r="A136" s="3"/>
      <c r="B136" s="6"/>
      <c r="C136" s="3"/>
      <c r="D136" s="4"/>
      <c r="E136" s="4"/>
      <c r="F136" s="5"/>
      <c r="G136" s="5"/>
      <c r="H136" s="5"/>
      <c r="I136" s="5"/>
      <c r="J136" s="8"/>
      <c r="K136" s="10" t="str">
        <f t="shared" si="6"/>
        <v/>
      </c>
      <c r="L136" s="8"/>
      <c r="M136" s="13" t="str">
        <f t="shared" si="7"/>
        <v/>
      </c>
    </row>
    <row r="137" spans="1:13" x14ac:dyDescent="0.15">
      <c r="A137" s="3"/>
      <c r="B137" s="6"/>
      <c r="C137" s="3"/>
      <c r="D137" s="4"/>
      <c r="E137" s="4"/>
      <c r="F137" s="5"/>
      <c r="G137" s="5"/>
      <c r="H137" s="5"/>
      <c r="I137" s="5"/>
      <c r="J137" s="8"/>
      <c r="K137" s="10" t="str">
        <f t="shared" si="6"/>
        <v/>
      </c>
      <c r="L137" s="8"/>
      <c r="M137" s="13" t="str">
        <f t="shared" si="7"/>
        <v/>
      </c>
    </row>
    <row r="138" spans="1:13" x14ac:dyDescent="0.15">
      <c r="A138" s="3"/>
      <c r="B138" s="6"/>
      <c r="C138" s="3"/>
      <c r="D138" s="4"/>
      <c r="E138" s="4"/>
      <c r="F138" s="5"/>
      <c r="G138" s="5"/>
      <c r="H138" s="5"/>
      <c r="I138" s="5"/>
      <c r="J138" s="8"/>
      <c r="K138" s="10" t="str">
        <f t="shared" si="6"/>
        <v/>
      </c>
      <c r="L138" s="8"/>
      <c r="M138" s="13" t="str">
        <f t="shared" si="7"/>
        <v/>
      </c>
    </row>
    <row r="139" spans="1:13" x14ac:dyDescent="0.15">
      <c r="A139" s="3"/>
      <c r="B139" s="6"/>
      <c r="C139" s="3"/>
      <c r="D139" s="4"/>
      <c r="E139" s="4"/>
      <c r="F139" s="5"/>
      <c r="G139" s="5"/>
      <c r="H139" s="5"/>
      <c r="I139" s="5"/>
      <c r="J139" s="8"/>
      <c r="K139" s="10" t="str">
        <f t="shared" si="6"/>
        <v/>
      </c>
      <c r="L139" s="8"/>
      <c r="M139" s="13" t="str">
        <f t="shared" si="7"/>
        <v/>
      </c>
    </row>
    <row r="140" spans="1:13" x14ac:dyDescent="0.15">
      <c r="A140" s="3"/>
      <c r="B140" s="6"/>
      <c r="C140" s="3"/>
      <c r="D140" s="4"/>
      <c r="E140" s="4"/>
      <c r="F140" s="5"/>
      <c r="G140" s="5"/>
      <c r="H140" s="5"/>
      <c r="I140" s="5"/>
      <c r="J140" s="8"/>
      <c r="K140" s="10" t="str">
        <f t="shared" si="6"/>
        <v/>
      </c>
      <c r="L140" s="8"/>
      <c r="M140" s="13" t="str">
        <f t="shared" si="7"/>
        <v/>
      </c>
    </row>
    <row r="141" spans="1:13" x14ac:dyDescent="0.15">
      <c r="A141" s="3"/>
      <c r="B141" s="6"/>
      <c r="C141" s="3"/>
      <c r="D141" s="4"/>
      <c r="E141" s="4"/>
      <c r="F141" s="5"/>
      <c r="G141" s="5"/>
      <c r="H141" s="5"/>
      <c r="I141" s="5"/>
      <c r="J141" s="8"/>
      <c r="K141" s="10" t="str">
        <f t="shared" si="6"/>
        <v/>
      </c>
      <c r="L141" s="8"/>
      <c r="M141" s="13" t="str">
        <f t="shared" si="7"/>
        <v/>
      </c>
    </row>
    <row r="142" spans="1:13" x14ac:dyDescent="0.15">
      <c r="A142" s="3"/>
      <c r="B142" s="6"/>
      <c r="C142" s="3"/>
      <c r="D142" s="4"/>
      <c r="E142" s="4"/>
      <c r="F142" s="5"/>
      <c r="G142" s="5"/>
      <c r="H142" s="5"/>
      <c r="I142" s="5"/>
      <c r="J142" s="8"/>
      <c r="K142" s="10" t="str">
        <f t="shared" si="6"/>
        <v/>
      </c>
      <c r="L142" s="8"/>
      <c r="M142" s="13" t="str">
        <f t="shared" si="7"/>
        <v/>
      </c>
    </row>
    <row r="143" spans="1:13" x14ac:dyDescent="0.15">
      <c r="A143" s="3"/>
      <c r="B143" s="6"/>
      <c r="C143" s="3"/>
      <c r="D143" s="4"/>
      <c r="E143" s="4"/>
      <c r="F143" s="5"/>
      <c r="G143" s="5"/>
      <c r="H143" s="5"/>
      <c r="I143" s="5"/>
      <c r="J143" s="8"/>
      <c r="K143" s="10" t="str">
        <f t="shared" si="6"/>
        <v/>
      </c>
      <c r="L143" s="8"/>
      <c r="M143" s="13" t="str">
        <f t="shared" si="7"/>
        <v/>
      </c>
    </row>
    <row r="144" spans="1:13" x14ac:dyDescent="0.15">
      <c r="A144" s="3"/>
      <c r="B144" s="6"/>
      <c r="C144" s="3"/>
      <c r="D144" s="4"/>
      <c r="E144" s="4"/>
      <c r="F144" s="5"/>
      <c r="G144" s="5"/>
      <c r="H144" s="5"/>
      <c r="I144" s="5"/>
      <c r="J144" s="8"/>
      <c r="K144" s="10" t="str">
        <f t="shared" si="6"/>
        <v/>
      </c>
      <c r="L144" s="8"/>
      <c r="M144" s="13" t="str">
        <f t="shared" si="7"/>
        <v/>
      </c>
    </row>
    <row r="145" spans="1:13" x14ac:dyDescent="0.15">
      <c r="A145" s="3"/>
      <c r="B145" s="6"/>
      <c r="C145" s="3"/>
      <c r="D145" s="4"/>
      <c r="E145" s="4"/>
      <c r="F145" s="5"/>
      <c r="G145" s="5"/>
      <c r="H145" s="5"/>
      <c r="I145" s="5"/>
      <c r="J145" s="8"/>
      <c r="K145" s="10" t="str">
        <f t="shared" si="6"/>
        <v/>
      </c>
      <c r="L145" s="8"/>
      <c r="M145" s="13" t="str">
        <f t="shared" si="7"/>
        <v/>
      </c>
    </row>
    <row r="146" spans="1:13" x14ac:dyDescent="0.15">
      <c r="A146" s="3"/>
      <c r="B146" s="6"/>
      <c r="C146" s="3"/>
      <c r="D146" s="4"/>
      <c r="E146" s="4"/>
      <c r="F146" s="5"/>
      <c r="G146" s="5"/>
      <c r="H146" s="5"/>
      <c r="I146" s="5"/>
      <c r="J146" s="8"/>
      <c r="K146" s="10" t="str">
        <f t="shared" si="6"/>
        <v/>
      </c>
      <c r="L146" s="8"/>
      <c r="M146" s="13" t="str">
        <f t="shared" si="7"/>
        <v/>
      </c>
    </row>
    <row r="147" spans="1:13" x14ac:dyDescent="0.15">
      <c r="A147" s="3"/>
      <c r="B147" s="6"/>
      <c r="C147" s="3"/>
      <c r="D147" s="4"/>
      <c r="E147" s="4"/>
      <c r="F147" s="5"/>
      <c r="G147" s="5"/>
      <c r="H147" s="5"/>
      <c r="I147" s="5"/>
      <c r="J147" s="8"/>
      <c r="K147" s="10" t="str">
        <f t="shared" si="6"/>
        <v/>
      </c>
      <c r="L147" s="8"/>
      <c r="M147" s="13" t="str">
        <f t="shared" si="7"/>
        <v/>
      </c>
    </row>
    <row r="148" spans="1:13" x14ac:dyDescent="0.15">
      <c r="A148" s="3"/>
      <c r="B148" s="6"/>
      <c r="C148" s="3"/>
      <c r="D148" s="4"/>
      <c r="E148" s="4"/>
      <c r="F148" s="5"/>
      <c r="G148" s="5"/>
      <c r="H148" s="5"/>
      <c r="I148" s="5"/>
      <c r="J148" s="8"/>
      <c r="K148" s="10" t="str">
        <f t="shared" si="6"/>
        <v/>
      </c>
      <c r="L148" s="8"/>
      <c r="M148" s="13" t="str">
        <f t="shared" si="7"/>
        <v/>
      </c>
    </row>
    <row r="149" spans="1:13" x14ac:dyDescent="0.15">
      <c r="A149" s="3"/>
      <c r="B149" s="6"/>
      <c r="C149" s="3"/>
      <c r="D149" s="4"/>
      <c r="E149" s="4"/>
      <c r="F149" s="5"/>
      <c r="G149" s="5"/>
      <c r="H149" s="5"/>
      <c r="I149" s="5"/>
      <c r="J149" s="8"/>
      <c r="K149" s="10" t="str">
        <f t="shared" si="6"/>
        <v/>
      </c>
      <c r="L149" s="8"/>
      <c r="M149" s="13" t="str">
        <f t="shared" si="7"/>
        <v/>
      </c>
    </row>
    <row r="150" spans="1:13" x14ac:dyDescent="0.15">
      <c r="A150" s="3"/>
      <c r="B150" s="6"/>
      <c r="C150" s="3"/>
      <c r="D150" s="4"/>
      <c r="E150" s="4"/>
      <c r="F150" s="5"/>
      <c r="G150" s="5"/>
      <c r="H150" s="5"/>
      <c r="I150" s="5"/>
      <c r="J150" s="8"/>
      <c r="K150" s="10" t="str">
        <f t="shared" si="6"/>
        <v/>
      </c>
      <c r="L150" s="8"/>
      <c r="M150" s="13" t="str">
        <f t="shared" si="7"/>
        <v/>
      </c>
    </row>
    <row r="151" spans="1:13" x14ac:dyDescent="0.15">
      <c r="A151" s="3"/>
      <c r="B151" s="6"/>
      <c r="C151" s="3"/>
      <c r="D151" s="4"/>
      <c r="E151" s="4"/>
      <c r="F151" s="5"/>
      <c r="G151" s="5"/>
      <c r="H151" s="5"/>
      <c r="I151" s="5"/>
      <c r="J151" s="8"/>
      <c r="K151" s="10" t="str">
        <f t="shared" si="6"/>
        <v/>
      </c>
      <c r="L151" s="8"/>
      <c r="M151" s="13" t="str">
        <f t="shared" si="7"/>
        <v/>
      </c>
    </row>
    <row r="152" spans="1:13" x14ac:dyDescent="0.15">
      <c r="A152" s="3"/>
      <c r="B152" s="6"/>
      <c r="C152" s="3"/>
      <c r="D152" s="4"/>
      <c r="E152" s="4"/>
      <c r="F152" s="5"/>
      <c r="G152" s="5"/>
      <c r="H152" s="5"/>
      <c r="I152" s="5"/>
      <c r="J152" s="8"/>
      <c r="K152" s="10" t="str">
        <f t="shared" si="6"/>
        <v/>
      </c>
      <c r="L152" s="8"/>
      <c r="M152" s="13" t="str">
        <f t="shared" si="7"/>
        <v/>
      </c>
    </row>
  </sheetData>
  <mergeCells count="1">
    <mergeCell ref="A1:B1"/>
  </mergeCells>
  <phoneticPr fontId="2"/>
  <pageMargins left="0.78700000000000003" right="0.78700000000000003" top="0.98399999999999999" bottom="0.98399999999999999" header="0.51200000000000001" footer="0.51200000000000001"/>
  <pageSetup paperSize="9" scale="76" fitToHeight="10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Set_KBN">
                <anchor moveWithCells="1">
                  <from>
                    <xdr:col>2</xdr:col>
                    <xdr:colOff>95250</xdr:colOff>
                    <xdr:row>0</xdr:row>
                    <xdr:rowOff>28575</xdr:rowOff>
                  </from>
                  <to>
                    <xdr:col>2</xdr:col>
                    <xdr:colOff>800100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_Masta">
                <anchor moveWithCells="1" sizeWithCells="1">
                  <from>
                    <xdr:col>2</xdr:col>
                    <xdr:colOff>923925</xdr:colOff>
                    <xdr:row>0</xdr:row>
                    <xdr:rowOff>9525</xdr:rowOff>
                  </from>
                  <to>
                    <xdr:col>5</xdr:col>
                    <xdr:colOff>28575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_Masta">
                <anchor moveWithCells="1" sizeWithCells="1">
                  <from>
                    <xdr:col>5</xdr:col>
                    <xdr:colOff>304800</xdr:colOff>
                    <xdr:row>0</xdr:row>
                    <xdr:rowOff>9525</xdr:rowOff>
                  </from>
                  <to>
                    <xdr:col>6</xdr:col>
                    <xdr:colOff>257175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ack_Main">
                <anchor>
                  <from>
                    <xdr:col>9</xdr:col>
                    <xdr:colOff>581025</xdr:colOff>
                    <xdr:row>0</xdr:row>
                    <xdr:rowOff>0</xdr:rowOff>
                  </from>
                  <to>
                    <xdr:col>10</xdr:col>
                    <xdr:colOff>504825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indexed="48"/>
    <pageSetUpPr autoPageBreaks="0"/>
  </sheetPr>
  <dimension ref="A1:AI110"/>
  <sheetViews>
    <sheetView showGridLines="0" showRowColHeaders="0" tabSelected="1" topLeftCell="A33" zoomScaleNormal="100" workbookViewId="0">
      <selection activeCell="M29" sqref="M29"/>
    </sheetView>
  </sheetViews>
  <sheetFormatPr defaultRowHeight="13.5" x14ac:dyDescent="0.15"/>
  <cols>
    <col min="1" max="1" width="9.625" customWidth="1"/>
    <col min="2" max="2" width="8.625" customWidth="1"/>
    <col min="3" max="3" width="17.125" customWidth="1"/>
    <col min="4" max="4" width="5.625" customWidth="1"/>
    <col min="5" max="6" width="11.125" customWidth="1"/>
    <col min="7" max="7" width="8.125" customWidth="1"/>
    <col min="8" max="8" width="11.125" customWidth="1"/>
    <col min="9" max="9" width="4.625" customWidth="1"/>
    <col min="10" max="10" width="2.25" customWidth="1"/>
    <col min="11" max="11" width="4.625" customWidth="1"/>
    <col min="12" max="13" width="11.125" customWidth="1"/>
    <col min="14" max="15" width="6.625" customWidth="1"/>
    <col min="16" max="17" width="10.625" customWidth="1"/>
    <col min="18" max="18" width="6.625" customWidth="1"/>
    <col min="19" max="20" width="10.625" customWidth="1"/>
    <col min="21" max="21" width="6.625" customWidth="1"/>
    <col min="22" max="23" width="3.5" style="7" bestFit="1" customWidth="1"/>
    <col min="24" max="24" width="13" style="7" bestFit="1" customWidth="1"/>
    <col min="25" max="25" width="2.625" style="7" bestFit="1" customWidth="1"/>
    <col min="26" max="26" width="2.625" bestFit="1" customWidth="1"/>
    <col min="31" max="31" width="4" bestFit="1" customWidth="1"/>
    <col min="32" max="32" width="5.25" bestFit="1" customWidth="1"/>
    <col min="34" max="34" width="5.875" bestFit="1" customWidth="1"/>
    <col min="35" max="35" width="11.375" bestFit="1" customWidth="1"/>
  </cols>
  <sheetData>
    <row r="1" spans="1:35" x14ac:dyDescent="0.15">
      <c r="AD1" s="3">
        <v>2</v>
      </c>
      <c r="AE1" s="3" t="str">
        <f>VLOOKUP(AD1,AD2:AF8,2,FALSE)</f>
        <v>RT</v>
      </c>
      <c r="AF1" s="3" t="str">
        <f>VLOOKUP(AD1,AD2:AF8,3,FALSE)</f>
        <v>東京</v>
      </c>
      <c r="AG1" s="3">
        <v>0</v>
      </c>
      <c r="AH1" s="8" t="e">
        <f>VLOOKUP(AG1,AG2:AI22,2,FALSE)</f>
        <v>#N/A</v>
      </c>
      <c r="AI1" s="3" t="e">
        <f>VLOOKUP(AG1,AG2:AI22,3,FALSE)</f>
        <v>#N/A</v>
      </c>
    </row>
    <row r="2" spans="1:35" ht="15" customHeight="1" x14ac:dyDescent="0.15">
      <c r="A2" s="138" t="s">
        <v>0</v>
      </c>
      <c r="B2" s="23"/>
      <c r="F2" s="138" t="s">
        <v>94</v>
      </c>
      <c r="AD2" s="3">
        <v>1</v>
      </c>
      <c r="AE2" s="3" t="s">
        <v>29</v>
      </c>
      <c r="AF2" s="24" t="s">
        <v>12</v>
      </c>
      <c r="AG2" s="3">
        <v>1</v>
      </c>
      <c r="AH2" s="8" t="s">
        <v>222</v>
      </c>
      <c r="AI2" s="3" t="s">
        <v>223</v>
      </c>
    </row>
    <row r="3" spans="1:35" ht="15" customHeight="1" x14ac:dyDescent="0.15">
      <c r="A3" s="26"/>
      <c r="B3" s="23"/>
      <c r="F3" s="26"/>
      <c r="AD3" s="3">
        <v>2</v>
      </c>
      <c r="AE3" s="3" t="s">
        <v>30</v>
      </c>
      <c r="AF3" s="24" t="s">
        <v>13</v>
      </c>
      <c r="AG3" s="3">
        <v>2</v>
      </c>
      <c r="AH3" s="8" t="s">
        <v>224</v>
      </c>
      <c r="AI3" s="3" t="s">
        <v>225</v>
      </c>
    </row>
    <row r="4" spans="1:35" ht="22.5" customHeight="1" x14ac:dyDescent="0.15">
      <c r="A4" s="30" t="s">
        <v>229</v>
      </c>
      <c r="E4" s="27" t="s">
        <v>425</v>
      </c>
      <c r="G4" s="27" t="s">
        <v>97</v>
      </c>
      <c r="L4" s="29"/>
      <c r="M4" s="29"/>
      <c r="N4" s="28"/>
      <c r="O4" s="28"/>
      <c r="P4" s="28"/>
      <c r="Q4" s="28"/>
      <c r="R4" s="28"/>
      <c r="S4" s="28"/>
      <c r="T4" s="217">
        <f ca="1">NOW()</f>
        <v>44728.660732291668</v>
      </c>
      <c r="U4" s="217"/>
      <c r="AD4" s="3">
        <v>3</v>
      </c>
      <c r="AE4" s="3" t="s">
        <v>28</v>
      </c>
      <c r="AF4" s="24" t="s">
        <v>14</v>
      </c>
      <c r="AG4" s="3">
        <v>3</v>
      </c>
      <c r="AH4" s="8" t="s">
        <v>226</v>
      </c>
      <c r="AI4" s="3" t="s">
        <v>227</v>
      </c>
    </row>
    <row r="5" spans="1:35" x14ac:dyDescent="0.15">
      <c r="A5" s="218" t="s">
        <v>5</v>
      </c>
      <c r="B5" s="220" t="s">
        <v>1</v>
      </c>
      <c r="C5" s="220" t="s">
        <v>2</v>
      </c>
      <c r="D5" s="220" t="s">
        <v>3</v>
      </c>
      <c r="E5" s="222" t="s">
        <v>4</v>
      </c>
      <c r="F5" s="220" t="s">
        <v>6</v>
      </c>
      <c r="G5" s="223" t="s">
        <v>7</v>
      </c>
      <c r="H5" s="222" t="s">
        <v>8</v>
      </c>
      <c r="I5" s="224" t="s">
        <v>9</v>
      </c>
      <c r="J5" s="224"/>
      <c r="K5" s="224"/>
      <c r="L5" s="222" t="s">
        <v>10</v>
      </c>
      <c r="M5" s="222" t="s">
        <v>11</v>
      </c>
      <c r="N5" s="132"/>
      <c r="O5" s="133"/>
      <c r="P5" s="134"/>
      <c r="Q5" s="132"/>
      <c r="R5" s="133"/>
      <c r="S5" s="134"/>
      <c r="T5" s="132"/>
      <c r="U5" s="133"/>
      <c r="AD5" s="3">
        <v>4</v>
      </c>
      <c r="AE5" s="3" t="s">
        <v>32</v>
      </c>
      <c r="AF5" s="24" t="s">
        <v>15</v>
      </c>
      <c r="AG5" s="3">
        <v>4</v>
      </c>
      <c r="AH5" s="8" t="s">
        <v>228</v>
      </c>
      <c r="AI5" s="3" t="s">
        <v>426</v>
      </c>
    </row>
    <row r="6" spans="1:35" x14ac:dyDescent="0.15">
      <c r="A6" s="219"/>
      <c r="B6" s="221"/>
      <c r="C6" s="221"/>
      <c r="D6" s="221"/>
      <c r="E6" s="222"/>
      <c r="F6" s="221"/>
      <c r="G6" s="223"/>
      <c r="H6" s="222"/>
      <c r="I6" s="225"/>
      <c r="J6" s="225"/>
      <c r="K6" s="225"/>
      <c r="L6" s="222"/>
      <c r="M6" s="222"/>
      <c r="N6" s="135" t="s">
        <v>99</v>
      </c>
      <c r="O6" s="136" t="s">
        <v>153</v>
      </c>
      <c r="P6" s="137" t="s">
        <v>152</v>
      </c>
      <c r="Q6" s="135" t="s">
        <v>101</v>
      </c>
      <c r="R6" s="136" t="s">
        <v>99</v>
      </c>
      <c r="S6" s="137" t="s">
        <v>100</v>
      </c>
      <c r="T6" s="135" t="s">
        <v>101</v>
      </c>
      <c r="U6" s="136" t="s">
        <v>99</v>
      </c>
      <c r="AD6" s="3">
        <v>5</v>
      </c>
      <c r="AE6" s="3" t="s">
        <v>33</v>
      </c>
      <c r="AF6" s="24" t="s">
        <v>16</v>
      </c>
      <c r="AG6" s="3">
        <v>5</v>
      </c>
      <c r="AH6" s="8"/>
      <c r="AI6" s="3"/>
    </row>
    <row r="7" spans="1:35" x14ac:dyDescent="0.15">
      <c r="A7" s="80"/>
      <c r="B7" s="153"/>
      <c r="C7" s="154"/>
      <c r="D7" s="155"/>
      <c r="E7" s="156"/>
      <c r="F7" s="156"/>
      <c r="G7" s="157"/>
      <c r="H7" s="158"/>
      <c r="I7" s="88"/>
      <c r="J7" s="81"/>
      <c r="K7" s="142"/>
      <c r="L7" s="159"/>
      <c r="M7" s="143"/>
      <c r="N7" s="160"/>
      <c r="O7" s="106"/>
      <c r="P7" s="93"/>
      <c r="Q7" s="161"/>
      <c r="R7" s="94"/>
      <c r="S7" s="93"/>
      <c r="T7" s="161"/>
      <c r="U7" s="94"/>
      <c r="AD7" s="3">
        <v>6</v>
      </c>
      <c r="AE7" s="3" t="s">
        <v>31</v>
      </c>
      <c r="AF7" s="24" t="s">
        <v>34</v>
      </c>
      <c r="AG7" s="3">
        <v>6</v>
      </c>
      <c r="AH7" s="8"/>
      <c r="AI7" s="3"/>
    </row>
    <row r="8" spans="1:35" x14ac:dyDescent="0.15">
      <c r="A8" s="121" t="s">
        <v>182</v>
      </c>
      <c r="B8" s="162"/>
      <c r="C8" s="163"/>
      <c r="D8" s="164"/>
      <c r="E8" s="165"/>
      <c r="F8" s="166" t="s">
        <v>427</v>
      </c>
      <c r="G8" s="167"/>
      <c r="H8" s="168"/>
      <c r="I8" s="89"/>
      <c r="J8" s="83"/>
      <c r="K8" s="144"/>
      <c r="L8" s="169"/>
      <c r="M8" s="145"/>
      <c r="N8" s="170"/>
      <c r="O8" s="107"/>
      <c r="P8" s="95"/>
      <c r="Q8" s="171"/>
      <c r="R8" s="96"/>
      <c r="S8" s="95"/>
      <c r="T8" s="171"/>
      <c r="U8" s="96"/>
      <c r="AD8" s="3">
        <v>7</v>
      </c>
      <c r="AE8" s="3"/>
      <c r="AF8" s="24"/>
      <c r="AG8" s="3">
        <v>7</v>
      </c>
      <c r="AH8" s="8"/>
      <c r="AI8" s="3"/>
    </row>
    <row r="9" spans="1:35" x14ac:dyDescent="0.15">
      <c r="A9" s="82"/>
      <c r="B9" s="162"/>
      <c r="C9" s="172"/>
      <c r="D9" s="173"/>
      <c r="E9" s="165"/>
      <c r="F9" s="165"/>
      <c r="G9" s="167"/>
      <c r="H9" s="168"/>
      <c r="I9" s="89"/>
      <c r="J9" s="83"/>
      <c r="K9" s="144"/>
      <c r="L9" s="169"/>
      <c r="M9" s="145"/>
      <c r="N9" s="170"/>
      <c r="O9" s="107"/>
      <c r="P9" s="95"/>
      <c r="Q9" s="171"/>
      <c r="R9" s="96"/>
      <c r="S9" s="95"/>
      <c r="T9" s="171"/>
      <c r="U9" s="96"/>
      <c r="AG9" s="3">
        <v>8</v>
      </c>
      <c r="AH9" s="8"/>
      <c r="AI9" s="3"/>
    </row>
    <row r="10" spans="1:35" x14ac:dyDescent="0.15">
      <c r="A10" s="82" t="s">
        <v>230</v>
      </c>
      <c r="B10" s="162"/>
      <c r="C10" s="172"/>
      <c r="D10" s="173"/>
      <c r="E10" s="165"/>
      <c r="F10" s="165"/>
      <c r="G10" s="167"/>
      <c r="H10" s="168"/>
      <c r="I10" s="89"/>
      <c r="J10" s="83"/>
      <c r="K10" s="144"/>
      <c r="L10" s="169"/>
      <c r="M10" s="145"/>
      <c r="N10" s="170"/>
      <c r="O10" s="107"/>
      <c r="P10" s="95"/>
      <c r="Q10" s="171"/>
      <c r="R10" s="96"/>
      <c r="S10" s="95"/>
      <c r="T10" s="171"/>
      <c r="U10" s="96"/>
      <c r="AG10" s="3">
        <v>9</v>
      </c>
      <c r="AH10" s="8"/>
      <c r="AI10" s="3"/>
    </row>
    <row r="11" spans="1:35" x14ac:dyDescent="0.15">
      <c r="A11" s="82"/>
      <c r="B11" s="162" t="s">
        <v>231</v>
      </c>
      <c r="C11" s="172" t="s">
        <v>232</v>
      </c>
      <c r="D11" s="173" t="s">
        <v>233</v>
      </c>
      <c r="E11" s="165">
        <v>473800</v>
      </c>
      <c r="F11" s="165">
        <v>711000</v>
      </c>
      <c r="G11" s="167">
        <v>0</v>
      </c>
      <c r="H11" s="168">
        <f>(ROUNDUP((E11*G11)/100,0))*100</f>
        <v>0</v>
      </c>
      <c r="I11" s="89"/>
      <c r="J11" s="83" t="s">
        <v>183</v>
      </c>
      <c r="K11" s="144"/>
      <c r="L11" s="169">
        <f>IF(M11="","",M11-(F11+H11))</f>
        <v>0</v>
      </c>
      <c r="M11" s="145">
        <f>IF(K11=0,F11+H11,IF(K11="","",ROUNDUP((((F11+H11)*I11)/K11)/100,0)*100))</f>
        <v>711000</v>
      </c>
      <c r="N11" s="170">
        <f>IF(M11="","",M11/E11)</f>
        <v>1.5006331785563529</v>
      </c>
      <c r="O11" s="108" t="str">
        <f>IF(P11=0,"",(M11-P11)/P11)</f>
        <v/>
      </c>
      <c r="P11" s="95"/>
      <c r="Q11" s="171"/>
      <c r="R11" s="96"/>
      <c r="S11" s="95"/>
      <c r="T11" s="171"/>
      <c r="U11" s="96"/>
      <c r="V11" s="7" t="s">
        <v>35</v>
      </c>
      <c r="W11" s="7" t="s">
        <v>58</v>
      </c>
      <c r="X11" s="7" t="s">
        <v>234</v>
      </c>
      <c r="Y11" s="7" t="s">
        <v>70</v>
      </c>
      <c r="Z11" s="32"/>
      <c r="AA11" s="62"/>
      <c r="AB11" s="63"/>
      <c r="AC11" s="63"/>
      <c r="AD11" s="63"/>
      <c r="AE11" s="23"/>
      <c r="AF11" s="23"/>
      <c r="AG11" s="3">
        <v>10</v>
      </c>
      <c r="AH11" s="8"/>
      <c r="AI11" s="3"/>
    </row>
    <row r="12" spans="1:35" x14ac:dyDescent="0.15">
      <c r="A12" s="82"/>
      <c r="B12" s="162" t="s">
        <v>235</v>
      </c>
      <c r="C12" s="172" t="s">
        <v>236</v>
      </c>
      <c r="D12" s="173" t="s">
        <v>211</v>
      </c>
      <c r="E12" s="165">
        <v>422300</v>
      </c>
      <c r="F12" s="165">
        <v>634000</v>
      </c>
      <c r="G12" s="167">
        <v>0</v>
      </c>
      <c r="H12" s="168">
        <f>(ROUNDUP((E12*G12)/100,0))*100</f>
        <v>0</v>
      </c>
      <c r="I12" s="89"/>
      <c r="J12" s="83" t="s">
        <v>183</v>
      </c>
      <c r="K12" s="144"/>
      <c r="L12" s="169">
        <f>IF(M12="","",M12-(F12+H12))</f>
        <v>0</v>
      </c>
      <c r="M12" s="145">
        <f>IF(K12=0,F12+H12,IF(K12="","",ROUNDUP((((F12+H12)*I12)/K12)/100,0)*100))</f>
        <v>634000</v>
      </c>
      <c r="N12" s="170">
        <f>IF(M12="","",M12/E12)</f>
        <v>1.5013023916646933</v>
      </c>
      <c r="O12" s="108" t="str">
        <f>IF(P12=0,"",(M12-P12)/P12)</f>
        <v/>
      </c>
      <c r="P12" s="95"/>
      <c r="Q12" s="171"/>
      <c r="R12" s="96"/>
      <c r="S12" s="95"/>
      <c r="T12" s="171"/>
      <c r="U12" s="96"/>
      <c r="V12" s="7" t="s">
        <v>35</v>
      </c>
      <c r="W12" s="7" t="s">
        <v>58</v>
      </c>
      <c r="X12" s="7" t="s">
        <v>234</v>
      </c>
      <c r="Y12" s="7" t="s">
        <v>70</v>
      </c>
      <c r="Z12" s="32"/>
      <c r="AA12" s="62"/>
      <c r="AB12" s="63"/>
      <c r="AC12" s="63"/>
      <c r="AD12" s="63"/>
      <c r="AG12" s="3">
        <v>11</v>
      </c>
      <c r="AH12" s="8"/>
      <c r="AI12" s="3"/>
    </row>
    <row r="13" spans="1:35" x14ac:dyDescent="0.15">
      <c r="A13" s="82"/>
      <c r="B13" s="162" t="s">
        <v>237</v>
      </c>
      <c r="C13" s="172" t="s">
        <v>238</v>
      </c>
      <c r="D13" s="173" t="s">
        <v>211</v>
      </c>
      <c r="E13" s="165">
        <v>370600</v>
      </c>
      <c r="F13" s="165">
        <v>556000</v>
      </c>
      <c r="G13" s="167">
        <v>0</v>
      </c>
      <c r="H13" s="168">
        <f>(ROUNDUP((E13*G13)/100,0))*100</f>
        <v>0</v>
      </c>
      <c r="I13" s="89"/>
      <c r="J13" s="83" t="s">
        <v>183</v>
      </c>
      <c r="K13" s="144"/>
      <c r="L13" s="169">
        <f>IF(M13="","",M13-(F13+H13))</f>
        <v>0</v>
      </c>
      <c r="M13" s="145">
        <f>IF(K13=0,F13+H13,IF(K13="","",ROUNDUP((((F13+H13)*I13)/K13)/100,0)*100))</f>
        <v>556000</v>
      </c>
      <c r="N13" s="170">
        <f>IF(M13="","",M13/E13)</f>
        <v>1.5002698327037236</v>
      </c>
      <c r="O13" s="108" t="str">
        <f>IF(P13=0,"",(M13-P13)/P13)</f>
        <v/>
      </c>
      <c r="P13" s="95"/>
      <c r="Q13" s="171"/>
      <c r="R13" s="96"/>
      <c r="S13" s="95"/>
      <c r="T13" s="171"/>
      <c r="U13" s="96"/>
      <c r="V13" s="7" t="s">
        <v>35</v>
      </c>
      <c r="W13" s="7" t="s">
        <v>58</v>
      </c>
      <c r="X13" s="7" t="s">
        <v>234</v>
      </c>
      <c r="Y13" s="7" t="s">
        <v>70</v>
      </c>
      <c r="Z13" s="32"/>
      <c r="AA13" s="62"/>
      <c r="AB13" s="63"/>
      <c r="AC13" s="63"/>
      <c r="AD13" s="63"/>
      <c r="AG13" s="3">
        <v>12</v>
      </c>
      <c r="AH13" s="8"/>
      <c r="AI13" s="3"/>
    </row>
    <row r="14" spans="1:35" x14ac:dyDescent="0.15">
      <c r="A14" s="82"/>
      <c r="B14" s="162" t="s">
        <v>241</v>
      </c>
      <c r="C14" s="172" t="s">
        <v>242</v>
      </c>
      <c r="D14" s="173" t="s">
        <v>213</v>
      </c>
      <c r="E14" s="165">
        <v>227000</v>
      </c>
      <c r="F14" s="165">
        <v>341000</v>
      </c>
      <c r="G14" s="167">
        <v>0</v>
      </c>
      <c r="H14" s="168">
        <f>(ROUNDUP((E14*G14)/100,0))*100</f>
        <v>0</v>
      </c>
      <c r="I14" s="89"/>
      <c r="J14" s="83" t="s">
        <v>183</v>
      </c>
      <c r="K14" s="144"/>
      <c r="L14" s="169">
        <f>IF(M14="","",M14-(F14+H14))</f>
        <v>0</v>
      </c>
      <c r="M14" s="145">
        <f>IF(K14=0,F14+H14,IF(K14="","",ROUNDUP((((F14+H14)*I14)/K14)/100,0)*100))</f>
        <v>341000</v>
      </c>
      <c r="N14" s="170">
        <f>IF(M14="","",M14/E14)</f>
        <v>1.5022026431718061</v>
      </c>
      <c r="O14" s="108" t="str">
        <f>IF(P14=0,"",(M14-P14)/P14)</f>
        <v/>
      </c>
      <c r="P14" s="95"/>
      <c r="Q14" s="171"/>
      <c r="R14" s="96"/>
      <c r="S14" s="95"/>
      <c r="T14" s="171"/>
      <c r="U14" s="96"/>
      <c r="V14" s="7" t="s">
        <v>35</v>
      </c>
      <c r="W14" s="7" t="s">
        <v>58</v>
      </c>
      <c r="X14" s="7" t="s">
        <v>234</v>
      </c>
      <c r="Y14" s="7" t="s">
        <v>70</v>
      </c>
      <c r="Z14" s="32"/>
      <c r="AA14" s="62"/>
      <c r="AB14" s="63"/>
      <c r="AC14" s="63"/>
      <c r="AD14" s="63"/>
      <c r="AG14" s="3">
        <v>13</v>
      </c>
      <c r="AH14" s="8"/>
      <c r="AI14" s="3"/>
    </row>
    <row r="15" spans="1:35" x14ac:dyDescent="0.15">
      <c r="A15" s="82"/>
      <c r="B15" s="162"/>
      <c r="C15" s="172"/>
      <c r="D15" s="173"/>
      <c r="E15" s="165"/>
      <c r="F15" s="165"/>
      <c r="G15" s="167"/>
      <c r="H15" s="168"/>
      <c r="I15" s="89"/>
      <c r="J15" s="83"/>
      <c r="K15" s="144"/>
      <c r="L15" s="169"/>
      <c r="M15" s="145"/>
      <c r="N15" s="170"/>
      <c r="O15" s="108"/>
      <c r="P15" s="95"/>
      <c r="Q15" s="171"/>
      <c r="R15" s="96"/>
      <c r="S15" s="95"/>
      <c r="T15" s="171"/>
      <c r="U15" s="96"/>
      <c r="Z15" s="32"/>
      <c r="AA15" s="62"/>
      <c r="AB15" s="63"/>
      <c r="AC15" s="63"/>
      <c r="AD15" s="63"/>
      <c r="AG15" s="3">
        <v>14</v>
      </c>
      <c r="AH15" s="8"/>
      <c r="AI15" s="3"/>
    </row>
    <row r="16" spans="1:35" x14ac:dyDescent="0.15">
      <c r="A16" s="82" t="s">
        <v>243</v>
      </c>
      <c r="B16" s="162"/>
      <c r="C16" s="172"/>
      <c r="D16" s="173"/>
      <c r="E16" s="165"/>
      <c r="F16" s="165"/>
      <c r="G16" s="167"/>
      <c r="H16" s="168"/>
      <c r="I16" s="89"/>
      <c r="J16" s="83"/>
      <c r="K16" s="144"/>
      <c r="L16" s="169"/>
      <c r="M16" s="145"/>
      <c r="N16" s="170"/>
      <c r="O16" s="108"/>
      <c r="P16" s="95"/>
      <c r="Q16" s="171"/>
      <c r="R16" s="96"/>
      <c r="S16" s="95"/>
      <c r="T16" s="171"/>
      <c r="U16" s="96"/>
      <c r="Z16" s="32"/>
      <c r="AA16" s="62"/>
      <c r="AB16" s="63"/>
      <c r="AC16" s="63"/>
      <c r="AD16" s="63"/>
      <c r="AG16" s="3">
        <v>15</v>
      </c>
      <c r="AH16" s="8"/>
      <c r="AI16" s="3"/>
    </row>
    <row r="17" spans="1:35" x14ac:dyDescent="0.15">
      <c r="A17" s="82"/>
      <c r="B17" s="162" t="s">
        <v>244</v>
      </c>
      <c r="C17" s="172" t="s">
        <v>245</v>
      </c>
      <c r="D17" s="173" t="s">
        <v>214</v>
      </c>
      <c r="E17" s="165">
        <v>286700</v>
      </c>
      <c r="F17" s="165">
        <v>431000</v>
      </c>
      <c r="G17" s="167">
        <v>0</v>
      </c>
      <c r="H17" s="168">
        <f>(ROUNDUP((E17*G17)/100,0))*100</f>
        <v>0</v>
      </c>
      <c r="I17" s="89"/>
      <c r="J17" s="83" t="s">
        <v>183</v>
      </c>
      <c r="K17" s="144"/>
      <c r="L17" s="169">
        <f>IF(M17="","",M17-(F17+H17))</f>
        <v>0</v>
      </c>
      <c r="M17" s="145">
        <f>IF(K17=0,F17+H17,IF(K17="","",ROUNDUP((((F17+H17)*I17)/K17)/100,0)*100))</f>
        <v>431000</v>
      </c>
      <c r="N17" s="170">
        <f>IF(M17="","",M17/E17)</f>
        <v>1.5033135681897454</v>
      </c>
      <c r="O17" s="108" t="str">
        <f>IF(P17=0,"",(M17-P17)/P17)</f>
        <v/>
      </c>
      <c r="P17" s="95"/>
      <c r="Q17" s="171"/>
      <c r="R17" s="96"/>
      <c r="S17" s="95"/>
      <c r="T17" s="171"/>
      <c r="U17" s="96"/>
      <c r="V17" s="7" t="s">
        <v>35</v>
      </c>
      <c r="W17" s="7" t="s">
        <v>60</v>
      </c>
      <c r="X17" s="7" t="s">
        <v>246</v>
      </c>
      <c r="Y17" s="7" t="s">
        <v>70</v>
      </c>
      <c r="Z17" s="32"/>
      <c r="AA17" s="62"/>
      <c r="AB17" s="63"/>
      <c r="AC17" s="63"/>
      <c r="AD17" s="63"/>
      <c r="AG17" s="3">
        <v>16</v>
      </c>
      <c r="AH17" s="8"/>
      <c r="AI17" s="3"/>
    </row>
    <row r="18" spans="1:35" x14ac:dyDescent="0.15">
      <c r="A18" s="82"/>
      <c r="B18" s="162" t="s">
        <v>239</v>
      </c>
      <c r="C18" s="172" t="s">
        <v>240</v>
      </c>
      <c r="D18" s="173" t="s">
        <v>213</v>
      </c>
      <c r="E18" s="165">
        <v>261800</v>
      </c>
      <c r="F18" s="165">
        <v>393000</v>
      </c>
      <c r="G18" s="167">
        <v>0</v>
      </c>
      <c r="H18" s="168">
        <f>(ROUNDUP((E18*G18)/100,0))*100</f>
        <v>0</v>
      </c>
      <c r="I18" s="89"/>
      <c r="J18" s="83" t="s">
        <v>183</v>
      </c>
      <c r="K18" s="144"/>
      <c r="L18" s="169">
        <f>IF(M18="","",M18-(F18+H18))</f>
        <v>0</v>
      </c>
      <c r="M18" s="145">
        <f>IF(K18=0,F18+H18,IF(K18="","",ROUNDUP((((F18+H18)*I18)/K18)/100,0)*100))</f>
        <v>393000</v>
      </c>
      <c r="N18" s="170">
        <f>IF(M18="","",M18/E18)</f>
        <v>1.5011459129106188</v>
      </c>
      <c r="O18" s="108" t="str">
        <f>IF(P18=0,"",(M18-P18)/P18)</f>
        <v/>
      </c>
      <c r="P18" s="95"/>
      <c r="Q18" s="171"/>
      <c r="R18" s="96"/>
      <c r="S18" s="95"/>
      <c r="T18" s="171"/>
      <c r="U18" s="96"/>
      <c r="V18" s="7" t="s">
        <v>35</v>
      </c>
      <c r="W18" s="7" t="s">
        <v>60</v>
      </c>
      <c r="X18" s="7" t="s">
        <v>246</v>
      </c>
      <c r="Y18" s="7" t="s">
        <v>70</v>
      </c>
      <c r="Z18" s="32"/>
      <c r="AA18" s="62"/>
      <c r="AB18" s="63"/>
      <c r="AC18" s="63"/>
      <c r="AD18" s="63"/>
      <c r="AG18" s="3">
        <v>17</v>
      </c>
      <c r="AH18" s="8"/>
      <c r="AI18" s="3"/>
    </row>
    <row r="19" spans="1:35" x14ac:dyDescent="0.15">
      <c r="A19" s="82"/>
      <c r="B19" s="162" t="s">
        <v>249</v>
      </c>
      <c r="C19" s="172" t="s">
        <v>250</v>
      </c>
      <c r="D19" s="173" t="s">
        <v>213</v>
      </c>
      <c r="E19" s="165">
        <v>219100</v>
      </c>
      <c r="F19" s="165">
        <v>329000</v>
      </c>
      <c r="G19" s="167">
        <v>0</v>
      </c>
      <c r="H19" s="168">
        <f>(ROUNDUP((E19*G19)/100,0))*100</f>
        <v>0</v>
      </c>
      <c r="I19" s="89"/>
      <c r="J19" s="83" t="s">
        <v>183</v>
      </c>
      <c r="K19" s="144"/>
      <c r="L19" s="169">
        <f>IF(M19="","",M19-(F19+H19))</f>
        <v>0</v>
      </c>
      <c r="M19" s="145">
        <f>IF(K19=0,F19+H19,IF(K19="","",ROUNDUP((((F19+H19)*I19)/K19)/100,0)*100))</f>
        <v>329000</v>
      </c>
      <c r="N19" s="170">
        <f>IF(M19="","",M19/E19)</f>
        <v>1.5015974440894568</v>
      </c>
      <c r="O19" s="108" t="str">
        <f>IF(P19=0,"",(M19-P19)/P19)</f>
        <v/>
      </c>
      <c r="P19" s="95"/>
      <c r="Q19" s="171"/>
      <c r="R19" s="96"/>
      <c r="S19" s="95"/>
      <c r="T19" s="171"/>
      <c r="U19" s="96"/>
      <c r="V19" s="7" t="s">
        <v>35</v>
      </c>
      <c r="W19" s="7" t="s">
        <v>60</v>
      </c>
      <c r="X19" s="7" t="s">
        <v>246</v>
      </c>
      <c r="Y19" s="7" t="s">
        <v>70</v>
      </c>
      <c r="Z19" s="32"/>
      <c r="AA19" s="62"/>
      <c r="AB19" s="63"/>
      <c r="AC19" s="63"/>
      <c r="AD19" s="63"/>
      <c r="AG19" s="3">
        <v>18</v>
      </c>
      <c r="AH19" s="8"/>
      <c r="AI19" s="3"/>
    </row>
    <row r="20" spans="1:35" ht="12.75" customHeight="1" x14ac:dyDescent="0.15">
      <c r="A20" s="82"/>
      <c r="B20" s="162"/>
      <c r="C20" s="172"/>
      <c r="D20" s="173"/>
      <c r="E20" s="165"/>
      <c r="F20" s="165"/>
      <c r="G20" s="167"/>
      <c r="H20" s="168"/>
      <c r="I20" s="89"/>
      <c r="J20" s="83"/>
      <c r="K20" s="144"/>
      <c r="L20" s="169"/>
      <c r="M20" s="145"/>
      <c r="N20" s="170"/>
      <c r="O20" s="108"/>
      <c r="P20" s="95"/>
      <c r="Q20" s="171"/>
      <c r="R20" s="96"/>
      <c r="S20" s="95"/>
      <c r="T20" s="171"/>
      <c r="U20" s="96"/>
      <c r="Z20" s="32"/>
      <c r="AA20" s="62"/>
      <c r="AB20" s="63"/>
      <c r="AC20" s="63"/>
      <c r="AD20" s="63"/>
      <c r="AG20" s="3">
        <v>19</v>
      </c>
      <c r="AH20" s="8"/>
      <c r="AI20" s="3"/>
    </row>
    <row r="21" spans="1:35" x14ac:dyDescent="0.15">
      <c r="A21" s="82" t="s">
        <v>251</v>
      </c>
      <c r="B21" s="162"/>
      <c r="C21" s="172"/>
      <c r="D21" s="173"/>
      <c r="E21" s="165"/>
      <c r="F21" s="165"/>
      <c r="G21" s="167"/>
      <c r="H21" s="168"/>
      <c r="I21" s="89"/>
      <c r="J21" s="83"/>
      <c r="K21" s="144"/>
      <c r="L21" s="169"/>
      <c r="M21" s="145"/>
      <c r="N21" s="170"/>
      <c r="O21" s="108"/>
      <c r="P21" s="95"/>
      <c r="Q21" s="171"/>
      <c r="R21" s="96"/>
      <c r="S21" s="95"/>
      <c r="T21" s="171"/>
      <c r="U21" s="96"/>
      <c r="Z21" s="32"/>
      <c r="AA21" s="62"/>
      <c r="AB21" s="63"/>
      <c r="AC21" s="63"/>
      <c r="AD21" s="63"/>
      <c r="AG21" s="3">
        <v>20</v>
      </c>
      <c r="AH21" s="8"/>
      <c r="AI21" s="3"/>
    </row>
    <row r="22" spans="1:35" x14ac:dyDescent="0.15">
      <c r="A22" s="82"/>
      <c r="B22" s="162" t="s">
        <v>252</v>
      </c>
      <c r="C22" s="172" t="s">
        <v>253</v>
      </c>
      <c r="D22" s="173" t="s">
        <v>211</v>
      </c>
      <c r="E22" s="165">
        <v>355100</v>
      </c>
      <c r="F22" s="165">
        <v>533000</v>
      </c>
      <c r="G22" s="167">
        <v>0</v>
      </c>
      <c r="H22" s="168">
        <f>(ROUNDUP((E22*G22)/100,0))*100</f>
        <v>0</v>
      </c>
      <c r="I22" s="89"/>
      <c r="J22" s="83" t="s">
        <v>183</v>
      </c>
      <c r="K22" s="144"/>
      <c r="L22" s="169">
        <f>IF(M22="","",M22-(F22+H22))</f>
        <v>0</v>
      </c>
      <c r="M22" s="145">
        <f>IF(K22=0,F22+H22,IF(K22="","",ROUNDUP((((F22+H22)*I22)/K22)/100,0)*100))</f>
        <v>533000</v>
      </c>
      <c r="N22" s="170">
        <f>IF(M22="","",M22/E22)</f>
        <v>1.5009856378484934</v>
      </c>
      <c r="O22" s="108" t="str">
        <f>IF(P22=0,"",(M22-P22)/P22)</f>
        <v/>
      </c>
      <c r="P22" s="95"/>
      <c r="Q22" s="171"/>
      <c r="R22" s="96"/>
      <c r="S22" s="95"/>
      <c r="T22" s="171"/>
      <c r="U22" s="96"/>
      <c r="V22" s="7" t="s">
        <v>35</v>
      </c>
      <c r="W22" s="7" t="s">
        <v>254</v>
      </c>
      <c r="X22" s="7" t="s">
        <v>255</v>
      </c>
      <c r="Y22" s="7" t="s">
        <v>70</v>
      </c>
      <c r="Z22" s="32"/>
      <c r="AA22" s="62"/>
      <c r="AB22" s="63"/>
      <c r="AC22" s="63"/>
      <c r="AD22" s="63"/>
      <c r="AG22" s="3">
        <v>21</v>
      </c>
      <c r="AH22" s="8"/>
      <c r="AI22" s="3"/>
    </row>
    <row r="23" spans="1:35" x14ac:dyDescent="0.15">
      <c r="A23" s="82"/>
      <c r="B23" s="162" t="s">
        <v>428</v>
      </c>
      <c r="C23" s="172" t="s">
        <v>429</v>
      </c>
      <c r="D23" s="173" t="s">
        <v>213</v>
      </c>
      <c r="E23" s="165">
        <v>214400</v>
      </c>
      <c r="F23" s="165">
        <v>322000</v>
      </c>
      <c r="G23" s="167">
        <v>0</v>
      </c>
      <c r="H23" s="168">
        <f>(ROUNDUP((E23*G23)/100,0))*100</f>
        <v>0</v>
      </c>
      <c r="I23" s="89"/>
      <c r="J23" s="83" t="s">
        <v>183</v>
      </c>
      <c r="K23" s="144"/>
      <c r="L23" s="169">
        <f>IF(M23="","",M23-(F23+H23))</f>
        <v>0</v>
      </c>
      <c r="M23" s="145">
        <f>IF(K23=0,F23+H23,IF(K23="","",ROUNDUP((((F23+H23)*I23)/K23)/100,0)*100))</f>
        <v>322000</v>
      </c>
      <c r="N23" s="170">
        <f>IF(M23="","",M23/E23)</f>
        <v>1.5018656716417911</v>
      </c>
      <c r="O23" s="108" t="str">
        <f>IF(P23=0,"",(M23-P23)/P23)</f>
        <v/>
      </c>
      <c r="P23" s="95"/>
      <c r="Q23" s="171"/>
      <c r="R23" s="96"/>
      <c r="S23" s="95"/>
      <c r="T23" s="171"/>
      <c r="U23" s="96"/>
      <c r="V23" s="7" t="s">
        <v>35</v>
      </c>
      <c r="W23" s="7" t="s">
        <v>254</v>
      </c>
      <c r="X23" s="7" t="s">
        <v>255</v>
      </c>
      <c r="Y23" s="7" t="s">
        <v>70</v>
      </c>
      <c r="Z23" s="32"/>
      <c r="AA23" s="62"/>
      <c r="AB23" s="63"/>
      <c r="AC23" s="63"/>
      <c r="AD23" s="63"/>
    </row>
    <row r="24" spans="1:35" x14ac:dyDescent="0.15">
      <c r="A24" s="82"/>
      <c r="B24" s="162"/>
      <c r="C24" s="172"/>
      <c r="D24" s="173"/>
      <c r="E24" s="165"/>
      <c r="F24" s="165"/>
      <c r="G24" s="167"/>
      <c r="H24" s="168"/>
      <c r="I24" s="89"/>
      <c r="J24" s="83"/>
      <c r="K24" s="144"/>
      <c r="L24" s="169"/>
      <c r="M24" s="145"/>
      <c r="N24" s="170"/>
      <c r="O24" s="108"/>
      <c r="P24" s="95"/>
      <c r="Q24" s="171"/>
      <c r="R24" s="96"/>
      <c r="S24" s="95"/>
      <c r="T24" s="171"/>
      <c r="U24" s="96"/>
      <c r="Z24" s="32"/>
      <c r="AA24" s="62"/>
      <c r="AB24" s="63"/>
      <c r="AC24" s="63"/>
      <c r="AD24" s="63"/>
    </row>
    <row r="25" spans="1:35" x14ac:dyDescent="0.15">
      <c r="A25" s="82" t="s">
        <v>256</v>
      </c>
      <c r="B25" s="162"/>
      <c r="C25" s="172"/>
      <c r="D25" s="173"/>
      <c r="E25" s="165"/>
      <c r="F25" s="165"/>
      <c r="G25" s="167"/>
      <c r="H25" s="168"/>
      <c r="I25" s="89"/>
      <c r="J25" s="83"/>
      <c r="K25" s="144"/>
      <c r="L25" s="169"/>
      <c r="M25" s="145"/>
      <c r="N25" s="170"/>
      <c r="O25" s="108"/>
      <c r="P25" s="95"/>
      <c r="Q25" s="171"/>
      <c r="R25" s="96"/>
      <c r="S25" s="95"/>
      <c r="T25" s="171"/>
      <c r="U25" s="96"/>
      <c r="Z25" s="32"/>
      <c r="AA25" s="62"/>
      <c r="AB25" s="63"/>
      <c r="AC25" s="63"/>
      <c r="AD25" s="63"/>
    </row>
    <row r="26" spans="1:35" x14ac:dyDescent="0.15">
      <c r="A26" s="82"/>
      <c r="B26" s="162" t="s">
        <v>257</v>
      </c>
      <c r="C26" s="172" t="s">
        <v>258</v>
      </c>
      <c r="D26" s="173" t="s">
        <v>211</v>
      </c>
      <c r="E26" s="165">
        <v>340300</v>
      </c>
      <c r="F26" s="165">
        <v>511000</v>
      </c>
      <c r="G26" s="167">
        <v>0</v>
      </c>
      <c r="H26" s="168">
        <f>(ROUNDUP((E26*G26)/100,0))*100</f>
        <v>0</v>
      </c>
      <c r="I26" s="89"/>
      <c r="J26" s="83" t="s">
        <v>183</v>
      </c>
      <c r="K26" s="144"/>
      <c r="L26" s="169">
        <f>IF(M26="","",M26-(F26+H26))</f>
        <v>0</v>
      </c>
      <c r="M26" s="145">
        <f>IF(K26=0,F26+H26,IF(K26="","",ROUNDUP((((F26+H26)*I26)/K26)/100,0)*100))</f>
        <v>511000</v>
      </c>
      <c r="N26" s="170">
        <f>IF(M26="","",M26/E26)</f>
        <v>1.5016162209814869</v>
      </c>
      <c r="O26" s="108" t="str">
        <f>IF(P26=0,"",(M26-P26)/P26)</f>
        <v/>
      </c>
      <c r="P26" s="95"/>
      <c r="Q26" s="171"/>
      <c r="R26" s="96"/>
      <c r="S26" s="95"/>
      <c r="T26" s="171"/>
      <c r="U26" s="96"/>
      <c r="V26" s="7" t="s">
        <v>35</v>
      </c>
      <c r="W26" s="7" t="s">
        <v>61</v>
      </c>
      <c r="X26" s="7" t="s">
        <v>259</v>
      </c>
      <c r="Y26" s="7" t="s">
        <v>70</v>
      </c>
      <c r="Z26" s="32"/>
      <c r="AA26" s="62"/>
      <c r="AB26" s="63"/>
    </row>
    <row r="27" spans="1:35" x14ac:dyDescent="0.15">
      <c r="A27" s="82"/>
      <c r="B27" s="162" t="s">
        <v>247</v>
      </c>
      <c r="C27" s="172" t="s">
        <v>248</v>
      </c>
      <c r="D27" s="173" t="s">
        <v>213</v>
      </c>
      <c r="E27" s="165">
        <v>238100</v>
      </c>
      <c r="F27" s="165">
        <v>358000</v>
      </c>
      <c r="G27" s="167">
        <v>0</v>
      </c>
      <c r="H27" s="168">
        <f>(ROUNDUP((E27*G27)/100,0))*100</f>
        <v>0</v>
      </c>
      <c r="I27" s="89"/>
      <c r="J27" s="83" t="s">
        <v>183</v>
      </c>
      <c r="K27" s="144"/>
      <c r="L27" s="169">
        <f>IF(M27="","",M27-(F27+H27))</f>
        <v>0</v>
      </c>
      <c r="M27" s="145">
        <f>IF(K27=0,F27+H27,IF(K27="","",ROUNDUP((((F27+H27)*I27)/K27)/100,0)*100))</f>
        <v>358000</v>
      </c>
      <c r="N27" s="170">
        <f>IF(M27="","",M27/E27)</f>
        <v>1.5035699286014279</v>
      </c>
      <c r="O27" s="108" t="str">
        <f>IF(P27=0,"",(M27-P27)/P27)</f>
        <v/>
      </c>
      <c r="P27" s="95"/>
      <c r="Q27" s="171"/>
      <c r="R27" s="96"/>
      <c r="S27" s="95"/>
      <c r="T27" s="171"/>
      <c r="U27" s="96"/>
      <c r="V27" s="7" t="s">
        <v>35</v>
      </c>
      <c r="W27" s="7" t="s">
        <v>61</v>
      </c>
      <c r="X27" s="7" t="s">
        <v>259</v>
      </c>
      <c r="Y27" s="7" t="s">
        <v>70</v>
      </c>
      <c r="Z27" s="32"/>
      <c r="AA27" s="62"/>
      <c r="AB27" s="63"/>
    </row>
    <row r="28" spans="1:35" x14ac:dyDescent="0.15">
      <c r="A28" s="82"/>
      <c r="B28" s="162"/>
      <c r="C28" s="172"/>
      <c r="D28" s="173"/>
      <c r="E28" s="165"/>
      <c r="F28" s="165"/>
      <c r="G28" s="167"/>
      <c r="H28" s="168"/>
      <c r="I28" s="89"/>
      <c r="J28" s="83"/>
      <c r="K28" s="144"/>
      <c r="L28" s="169"/>
      <c r="M28" s="145"/>
      <c r="N28" s="170"/>
      <c r="O28" s="108"/>
      <c r="P28" s="95"/>
      <c r="Q28" s="171"/>
      <c r="R28" s="96"/>
      <c r="S28" s="95"/>
      <c r="T28" s="171"/>
      <c r="U28" s="96"/>
      <c r="Z28" s="32"/>
      <c r="AA28" s="62"/>
      <c r="AB28" s="63"/>
    </row>
    <row r="29" spans="1:35" ht="14.25" thickBot="1" x14ac:dyDescent="0.2">
      <c r="A29" s="127"/>
      <c r="B29" s="235"/>
      <c r="C29" s="175" t="s">
        <v>184</v>
      </c>
      <c r="D29" s="176"/>
      <c r="E29" s="177">
        <v>3409200</v>
      </c>
      <c r="F29" s="177">
        <v>5119000</v>
      </c>
      <c r="G29" s="178"/>
      <c r="H29" s="179"/>
      <c r="I29" s="128"/>
      <c r="J29" s="129"/>
      <c r="K29" s="151"/>
      <c r="L29" s="180"/>
      <c r="M29" s="150">
        <v>0</v>
      </c>
      <c r="N29" s="181"/>
      <c r="O29" s="139"/>
      <c r="P29" s="130"/>
      <c r="Q29" s="182"/>
      <c r="R29" s="131"/>
      <c r="S29" s="130"/>
      <c r="T29" s="182"/>
      <c r="U29" s="131"/>
      <c r="Z29" s="32"/>
      <c r="AA29" s="62"/>
      <c r="AB29" s="63"/>
    </row>
    <row r="30" spans="1:35" ht="14.25" thickTop="1" x14ac:dyDescent="0.15">
      <c r="A30" s="122"/>
      <c r="B30" s="195"/>
      <c r="C30" s="183"/>
      <c r="D30" s="184"/>
      <c r="E30" s="185"/>
      <c r="F30" s="185"/>
      <c r="G30" s="186"/>
      <c r="H30" s="187"/>
      <c r="I30" s="123"/>
      <c r="J30" s="124"/>
      <c r="K30" s="152"/>
      <c r="L30" s="188"/>
      <c r="M30" s="149"/>
      <c r="N30" s="189"/>
      <c r="O30" s="208"/>
      <c r="P30" s="125"/>
      <c r="Q30" s="190"/>
      <c r="R30" s="126"/>
      <c r="S30" s="125"/>
      <c r="T30" s="190"/>
      <c r="U30" s="126"/>
      <c r="Z30" s="7"/>
      <c r="AA30" s="62"/>
      <c r="AB30" s="63"/>
    </row>
    <row r="31" spans="1:35" x14ac:dyDescent="0.15">
      <c r="A31" s="121" t="s">
        <v>185</v>
      </c>
      <c r="B31" s="162"/>
      <c r="C31" s="172"/>
      <c r="D31" s="173"/>
      <c r="E31" s="165"/>
      <c r="F31" s="165"/>
      <c r="G31" s="167"/>
      <c r="H31" s="168"/>
      <c r="I31" s="89"/>
      <c r="J31" s="83"/>
      <c r="K31" s="144"/>
      <c r="L31" s="169"/>
      <c r="M31" s="145"/>
      <c r="N31" s="170"/>
      <c r="O31" s="107"/>
      <c r="P31" s="95"/>
      <c r="Q31" s="171"/>
      <c r="R31" s="96"/>
      <c r="S31" s="95"/>
      <c r="T31" s="171"/>
      <c r="U31" s="96"/>
      <c r="Z31" s="32"/>
      <c r="AA31" s="62"/>
      <c r="AB31" s="63"/>
    </row>
    <row r="32" spans="1:35" x14ac:dyDescent="0.15">
      <c r="A32" s="82"/>
      <c r="B32" s="162"/>
      <c r="C32" s="172"/>
      <c r="D32" s="173"/>
      <c r="E32" s="165"/>
      <c r="F32" s="165"/>
      <c r="G32" s="167"/>
      <c r="H32" s="168"/>
      <c r="I32" s="89"/>
      <c r="J32" s="83"/>
      <c r="K32" s="144"/>
      <c r="L32" s="169"/>
      <c r="M32" s="145"/>
      <c r="N32" s="170"/>
      <c r="O32" s="107"/>
      <c r="P32" s="95"/>
      <c r="Q32" s="171"/>
      <c r="R32" s="96"/>
      <c r="S32" s="95"/>
      <c r="T32" s="171"/>
      <c r="U32" s="96"/>
      <c r="Z32" s="7"/>
      <c r="AA32" s="62"/>
      <c r="AB32" s="63"/>
    </row>
    <row r="33" spans="1:28" x14ac:dyDescent="0.15">
      <c r="A33" s="82" t="s">
        <v>186</v>
      </c>
      <c r="B33" s="162"/>
      <c r="C33" s="163"/>
      <c r="D33" s="164"/>
      <c r="E33" s="165"/>
      <c r="F33" s="165" t="s">
        <v>427</v>
      </c>
      <c r="G33" s="167"/>
      <c r="H33" s="168"/>
      <c r="I33" s="89"/>
      <c r="J33" s="83"/>
      <c r="K33" s="144"/>
      <c r="L33" s="169"/>
      <c r="M33" s="145"/>
      <c r="N33" s="170"/>
      <c r="O33" s="107"/>
      <c r="P33" s="95"/>
      <c r="Q33" s="171"/>
      <c r="R33" s="96"/>
      <c r="S33" s="95"/>
      <c r="T33" s="171"/>
      <c r="U33" s="96"/>
      <c r="Z33" s="32"/>
      <c r="AA33" s="62"/>
      <c r="AB33" s="63"/>
    </row>
    <row r="34" spans="1:28" x14ac:dyDescent="0.15">
      <c r="A34" s="82"/>
      <c r="B34" s="162" t="s">
        <v>263</v>
      </c>
      <c r="C34" s="172" t="s">
        <v>264</v>
      </c>
      <c r="D34" s="173" t="s">
        <v>211</v>
      </c>
      <c r="E34" s="165">
        <v>420800</v>
      </c>
      <c r="F34" s="165">
        <v>632000</v>
      </c>
      <c r="G34" s="167">
        <v>0</v>
      </c>
      <c r="H34" s="168">
        <f>(ROUNDUP((E34*G34)/100,0))*100</f>
        <v>0</v>
      </c>
      <c r="I34" s="89"/>
      <c r="J34" s="83" t="s">
        <v>183</v>
      </c>
      <c r="K34" s="144"/>
      <c r="L34" s="169">
        <f>IF(M34="","",M34-(F34+H34))</f>
        <v>0</v>
      </c>
      <c r="M34" s="145">
        <f>IF(K34=0,F34+H34,IF(K34="","",ROUNDUP((((F34+H34)*I34)/K34)/100,0)*100))</f>
        <v>632000</v>
      </c>
      <c r="N34" s="170">
        <f>IF(M34="","",M34/E34)</f>
        <v>1.5019011406844107</v>
      </c>
      <c r="O34" s="107" t="str">
        <f>IF(P34=0,"",(M34-P34)/P34)</f>
        <v/>
      </c>
      <c r="P34" s="95"/>
      <c r="Q34" s="171"/>
      <c r="R34" s="96"/>
      <c r="S34" s="95"/>
      <c r="T34" s="171"/>
      <c r="U34" s="96"/>
      <c r="V34" s="7" t="s">
        <v>122</v>
      </c>
      <c r="W34" s="7" t="s">
        <v>63</v>
      </c>
      <c r="X34" s="7" t="s">
        <v>265</v>
      </c>
      <c r="Y34" s="7" t="s">
        <v>70</v>
      </c>
      <c r="Z34" s="32"/>
      <c r="AA34" s="62"/>
      <c r="AB34" s="63"/>
    </row>
    <row r="35" spans="1:28" x14ac:dyDescent="0.15">
      <c r="A35" s="82"/>
      <c r="B35" s="162" t="s">
        <v>266</v>
      </c>
      <c r="C35" s="172" t="s">
        <v>267</v>
      </c>
      <c r="D35" s="173" t="s">
        <v>214</v>
      </c>
      <c r="E35" s="165">
        <v>309300</v>
      </c>
      <c r="F35" s="165">
        <v>464000</v>
      </c>
      <c r="G35" s="191">
        <v>0</v>
      </c>
      <c r="H35" s="168">
        <f>(ROUNDUP((E35*G35)/100,0))*100</f>
        <v>0</v>
      </c>
      <c r="I35" s="89"/>
      <c r="J35" s="83" t="s">
        <v>183</v>
      </c>
      <c r="K35" s="144"/>
      <c r="L35" s="169">
        <f>IF(M35="","",M35-(F35+H35))</f>
        <v>0</v>
      </c>
      <c r="M35" s="145">
        <f>IF(K35=0,F35+H35,IF(K35="","",ROUNDUP((((F35+H35)*I35)/K35)/100,0)*100))</f>
        <v>464000</v>
      </c>
      <c r="N35" s="170">
        <f>IF(M35="","",M35/E35)</f>
        <v>1.5001616553507922</v>
      </c>
      <c r="O35" s="107" t="str">
        <f>IF(P35=0,"",(M35-P35)/P35)</f>
        <v/>
      </c>
      <c r="P35" s="95"/>
      <c r="Q35" s="171"/>
      <c r="R35" s="96"/>
      <c r="S35" s="95"/>
      <c r="T35" s="171"/>
      <c r="U35" s="96"/>
      <c r="V35" s="7" t="s">
        <v>122</v>
      </c>
      <c r="W35" s="7" t="s">
        <v>62</v>
      </c>
      <c r="X35" s="7" t="s">
        <v>262</v>
      </c>
      <c r="Y35" s="7" t="s">
        <v>70</v>
      </c>
      <c r="Z35" s="7"/>
      <c r="AA35" s="62"/>
      <c r="AB35" s="63"/>
    </row>
    <row r="36" spans="1:28" x14ac:dyDescent="0.15">
      <c r="A36" s="82"/>
      <c r="B36" s="162" t="s">
        <v>268</v>
      </c>
      <c r="C36" s="172" t="s">
        <v>269</v>
      </c>
      <c r="D36" s="173" t="s">
        <v>214</v>
      </c>
      <c r="E36" s="165">
        <v>285900</v>
      </c>
      <c r="F36" s="165">
        <v>429000</v>
      </c>
      <c r="G36" s="191">
        <v>0</v>
      </c>
      <c r="H36" s="168">
        <f>(ROUNDUP((E36*G36)/100,0))*100</f>
        <v>0</v>
      </c>
      <c r="I36" s="89"/>
      <c r="J36" s="83" t="s">
        <v>183</v>
      </c>
      <c r="K36" s="144"/>
      <c r="L36" s="169">
        <f>IF(M36="","",M36-(F36+H36))</f>
        <v>0</v>
      </c>
      <c r="M36" s="145">
        <f>IF(K36=0,F36+H36,IF(K36="","",ROUNDUP((((F36+H36)*I36)/K36)/100,0)*100))</f>
        <v>429000</v>
      </c>
      <c r="N36" s="170">
        <f>IF(M36="","",M36/E36)</f>
        <v>1.5005246589716683</v>
      </c>
      <c r="O36" s="107" t="str">
        <f>IF(P36=0,"",(M36-P36)/P36)</f>
        <v/>
      </c>
      <c r="P36" s="95"/>
      <c r="Q36" s="171"/>
      <c r="R36" s="96"/>
      <c r="S36" s="95"/>
      <c r="T36" s="171"/>
      <c r="U36" s="96"/>
      <c r="V36" s="7" t="s">
        <v>122</v>
      </c>
      <c r="W36" s="7" t="s">
        <v>69</v>
      </c>
      <c r="X36" s="7" t="s">
        <v>270</v>
      </c>
      <c r="Y36" s="7" t="s">
        <v>70</v>
      </c>
      <c r="Z36" s="7"/>
      <c r="AA36" s="62"/>
      <c r="AB36" s="63"/>
    </row>
    <row r="37" spans="1:28" x14ac:dyDescent="0.15">
      <c r="A37" s="82"/>
      <c r="B37" s="162" t="s">
        <v>199</v>
      </c>
      <c r="C37" s="172" t="s">
        <v>200</v>
      </c>
      <c r="D37" s="173" t="s">
        <v>214</v>
      </c>
      <c r="E37" s="165">
        <v>326300</v>
      </c>
      <c r="F37" s="165">
        <v>490000</v>
      </c>
      <c r="G37" s="191">
        <v>0</v>
      </c>
      <c r="H37" s="168">
        <f>(ROUNDUP((E37*G37)/100,0))*100</f>
        <v>0</v>
      </c>
      <c r="I37" s="89"/>
      <c r="J37" s="83" t="s">
        <v>183</v>
      </c>
      <c r="K37" s="144"/>
      <c r="L37" s="169">
        <f>IF(M37="","",M37-(F37+H37))</f>
        <v>0</v>
      </c>
      <c r="M37" s="145">
        <f>IF(K37=0,F37+H37,IF(K37="","",ROUNDUP((((F37+H37)*I37)/K37)/100,0)*100))</f>
        <v>490000</v>
      </c>
      <c r="N37" s="170">
        <f>IF(M37="","",M37/E37)</f>
        <v>1.5016855654305854</v>
      </c>
      <c r="O37" s="107" t="str">
        <f>IF(P37=0,"",(M37-P37)/P37)</f>
        <v/>
      </c>
      <c r="P37" s="95"/>
      <c r="Q37" s="171"/>
      <c r="R37" s="96"/>
      <c r="S37" s="95"/>
      <c r="T37" s="171"/>
      <c r="U37" s="96"/>
      <c r="V37" s="7" t="s">
        <v>122</v>
      </c>
      <c r="W37" s="7" t="s">
        <v>62</v>
      </c>
      <c r="X37" s="7" t="s">
        <v>262</v>
      </c>
      <c r="Y37" s="7" t="s">
        <v>70</v>
      </c>
      <c r="Z37" s="32"/>
      <c r="AA37" s="62"/>
      <c r="AB37" s="63"/>
    </row>
    <row r="38" spans="1:28" x14ac:dyDescent="0.15">
      <c r="A38" s="82"/>
      <c r="B38" s="162" t="s">
        <v>273</v>
      </c>
      <c r="C38" s="172" t="s">
        <v>274</v>
      </c>
      <c r="D38" s="173" t="s">
        <v>214</v>
      </c>
      <c r="E38" s="165">
        <v>266900</v>
      </c>
      <c r="F38" s="165">
        <v>401000</v>
      </c>
      <c r="G38" s="167">
        <v>0</v>
      </c>
      <c r="H38" s="168">
        <f>(ROUNDUP((E38*G38)/100,0))*100</f>
        <v>0</v>
      </c>
      <c r="I38" s="89"/>
      <c r="J38" s="83" t="s">
        <v>183</v>
      </c>
      <c r="K38" s="144"/>
      <c r="L38" s="169">
        <f>IF(M38="","",M38-(F38+H38))</f>
        <v>0</v>
      </c>
      <c r="M38" s="145">
        <f>IF(K38=0,F38+H38,IF(K38="","",ROUNDUP((((F38+H38)*I38)/K38)/100,0)*100))</f>
        <v>401000</v>
      </c>
      <c r="N38" s="170">
        <f>IF(M38="","",M38/E38)</f>
        <v>1.5024353690520795</v>
      </c>
      <c r="O38" s="107" t="str">
        <f>IF(P38=0,"",(M38-P38)/P38)</f>
        <v/>
      </c>
      <c r="P38" s="95"/>
      <c r="Q38" s="171"/>
      <c r="R38" s="96"/>
      <c r="S38" s="95"/>
      <c r="T38" s="171"/>
      <c r="U38" s="96"/>
      <c r="V38" s="7" t="s">
        <v>122</v>
      </c>
      <c r="W38" s="7" t="s">
        <v>65</v>
      </c>
      <c r="X38" s="7" t="s">
        <v>275</v>
      </c>
      <c r="Y38" s="7" t="s">
        <v>70</v>
      </c>
      <c r="Z38" s="32"/>
      <c r="AA38" s="62"/>
      <c r="AB38" s="63"/>
    </row>
    <row r="39" spans="1:28" x14ac:dyDescent="0.15">
      <c r="A39" s="82"/>
      <c r="B39" s="162" t="s">
        <v>276</v>
      </c>
      <c r="C39" s="172" t="s">
        <v>277</v>
      </c>
      <c r="D39" s="173" t="s">
        <v>214</v>
      </c>
      <c r="E39" s="165">
        <v>325200</v>
      </c>
      <c r="F39" s="165">
        <v>488000</v>
      </c>
      <c r="G39" s="191">
        <v>0</v>
      </c>
      <c r="H39" s="168">
        <f>(ROUNDUP((E39*G39)/100,0))*100</f>
        <v>0</v>
      </c>
      <c r="I39" s="89"/>
      <c r="J39" s="83" t="s">
        <v>183</v>
      </c>
      <c r="K39" s="144"/>
      <c r="L39" s="169">
        <f>IF(M39="","",M39-(F39+H39))</f>
        <v>0</v>
      </c>
      <c r="M39" s="145">
        <f>IF(K39=0,F39+H39,IF(K39="","",ROUNDUP((((F39+H39)*I39)/K39)/100,0)*100))</f>
        <v>488000</v>
      </c>
      <c r="N39" s="170">
        <f>IF(M39="","",M39/E39)</f>
        <v>1.5006150061500616</v>
      </c>
      <c r="O39" s="107" t="str">
        <f>IF(P39=0,"",(M39-P39)/P39)</f>
        <v/>
      </c>
      <c r="P39" s="95"/>
      <c r="Q39" s="171"/>
      <c r="R39" s="96"/>
      <c r="S39" s="95"/>
      <c r="T39" s="171"/>
      <c r="U39" s="96"/>
      <c r="V39" s="7" t="s">
        <v>122</v>
      </c>
      <c r="W39" s="7" t="s">
        <v>63</v>
      </c>
      <c r="X39" s="7" t="s">
        <v>265</v>
      </c>
      <c r="Y39" s="7" t="s">
        <v>70</v>
      </c>
      <c r="Z39" s="32"/>
      <c r="AA39" s="62"/>
      <c r="AB39" s="63"/>
    </row>
    <row r="40" spans="1:28" x14ac:dyDescent="0.15">
      <c r="A40" s="82"/>
      <c r="B40" s="162" t="s">
        <v>289</v>
      </c>
      <c r="C40" s="172" t="s">
        <v>290</v>
      </c>
      <c r="D40" s="173" t="s">
        <v>214</v>
      </c>
      <c r="E40" s="165">
        <v>275700</v>
      </c>
      <c r="F40" s="165">
        <v>414000</v>
      </c>
      <c r="G40" s="191">
        <v>0</v>
      </c>
      <c r="H40" s="168">
        <f>(ROUNDUP((E40*G40)/100,0))*100</f>
        <v>0</v>
      </c>
      <c r="I40" s="89"/>
      <c r="J40" s="83" t="s">
        <v>183</v>
      </c>
      <c r="K40" s="144"/>
      <c r="L40" s="169">
        <f>IF(M40="","",M40-(F40+H40))</f>
        <v>0</v>
      </c>
      <c r="M40" s="145">
        <f>IF(K40=0,F40+H40,IF(K40="","",ROUNDUP((((F40+H40)*I40)/K40)/100,0)*100))</f>
        <v>414000</v>
      </c>
      <c r="N40" s="170">
        <f>IF(M40="","",M40/E40)</f>
        <v>1.5016322089227421</v>
      </c>
      <c r="O40" s="107" t="str">
        <f>IF(P40=0,"",(M40-P40)/P40)</f>
        <v/>
      </c>
      <c r="P40" s="95"/>
      <c r="Q40" s="171"/>
      <c r="R40" s="96"/>
      <c r="S40" s="95"/>
      <c r="T40" s="171"/>
      <c r="U40" s="96"/>
      <c r="V40" s="7" t="s">
        <v>122</v>
      </c>
      <c r="W40" s="7" t="s">
        <v>62</v>
      </c>
      <c r="X40" s="7" t="s">
        <v>262</v>
      </c>
      <c r="Y40" s="7" t="s">
        <v>70</v>
      </c>
      <c r="Z40" s="32"/>
      <c r="AA40" s="62"/>
      <c r="AB40" s="63"/>
    </row>
    <row r="41" spans="1:28" x14ac:dyDescent="0.15">
      <c r="A41" s="82"/>
      <c r="B41" s="162" t="s">
        <v>291</v>
      </c>
      <c r="C41" s="163" t="s">
        <v>292</v>
      </c>
      <c r="D41" s="164" t="s">
        <v>214</v>
      </c>
      <c r="E41" s="165">
        <v>250000</v>
      </c>
      <c r="F41" s="165">
        <v>375000</v>
      </c>
      <c r="G41" s="191">
        <v>0</v>
      </c>
      <c r="H41" s="168">
        <f>(ROUNDUP((E41*G41)/100,0))*100</f>
        <v>0</v>
      </c>
      <c r="I41" s="89"/>
      <c r="J41" s="83" t="s">
        <v>183</v>
      </c>
      <c r="K41" s="144"/>
      <c r="L41" s="169">
        <f>IF(M41="","",M41-(F41+H41))</f>
        <v>0</v>
      </c>
      <c r="M41" s="145">
        <f>IF(K41=0,F41+H41,IF(K41="","",ROUNDUP((((F41+H41)*I41)/K41)/100,0)*100))</f>
        <v>375000</v>
      </c>
      <c r="N41" s="170">
        <f>IF(M41="","",M41/E41)</f>
        <v>1.5</v>
      </c>
      <c r="O41" s="107" t="str">
        <f>IF(P41=0,"",(M41-P41)/P41)</f>
        <v/>
      </c>
      <c r="P41" s="95"/>
      <c r="Q41" s="171"/>
      <c r="R41" s="96"/>
      <c r="S41" s="95"/>
      <c r="T41" s="171"/>
      <c r="U41" s="96"/>
      <c r="V41" s="7" t="s">
        <v>122</v>
      </c>
      <c r="W41" s="7" t="s">
        <v>64</v>
      </c>
      <c r="X41" s="7" t="s">
        <v>293</v>
      </c>
      <c r="Y41" s="7" t="s">
        <v>70</v>
      </c>
      <c r="Z41" s="32"/>
      <c r="AA41" s="62"/>
      <c r="AB41" s="63"/>
    </row>
    <row r="42" spans="1:28" x14ac:dyDescent="0.15">
      <c r="A42" s="82"/>
      <c r="B42" s="162" t="s">
        <v>278</v>
      </c>
      <c r="C42" s="172" t="s">
        <v>279</v>
      </c>
      <c r="D42" s="173" t="s">
        <v>213</v>
      </c>
      <c r="E42" s="165">
        <v>264900</v>
      </c>
      <c r="F42" s="165">
        <v>398000</v>
      </c>
      <c r="G42" s="191">
        <v>0</v>
      </c>
      <c r="H42" s="168">
        <f>(ROUNDUP((E42*G42)/100,0))*100</f>
        <v>0</v>
      </c>
      <c r="I42" s="89"/>
      <c r="J42" s="83" t="s">
        <v>183</v>
      </c>
      <c r="K42" s="144"/>
      <c r="L42" s="169">
        <f>IF(M42="","",M42-(F42+H42))</f>
        <v>0</v>
      </c>
      <c r="M42" s="145">
        <f>IF(K42=0,F42+H42,IF(K42="","",ROUNDUP((((F42+H42)*I42)/K42)/100,0)*100))</f>
        <v>398000</v>
      </c>
      <c r="N42" s="170">
        <f>IF(M42="","",M42/E42)</f>
        <v>1.5024537561343903</v>
      </c>
      <c r="O42" s="107" t="str">
        <f>IF(P42=0,"",(M42-P42)/P42)</f>
        <v/>
      </c>
      <c r="P42" s="95"/>
      <c r="Q42" s="171"/>
      <c r="R42" s="96"/>
      <c r="S42" s="95"/>
      <c r="T42" s="171"/>
      <c r="U42" s="96"/>
      <c r="V42" s="7" t="s">
        <v>122</v>
      </c>
      <c r="W42" s="7" t="s">
        <v>66</v>
      </c>
      <c r="X42" s="7" t="s">
        <v>280</v>
      </c>
      <c r="Y42" s="7" t="s">
        <v>70</v>
      </c>
      <c r="Z42" s="32"/>
      <c r="AA42" s="62"/>
      <c r="AB42" s="63"/>
    </row>
    <row r="43" spans="1:28" x14ac:dyDescent="0.15">
      <c r="A43" s="82"/>
      <c r="B43" s="162" t="s">
        <v>281</v>
      </c>
      <c r="C43" s="172" t="s">
        <v>282</v>
      </c>
      <c r="D43" s="173" t="s">
        <v>213</v>
      </c>
      <c r="E43" s="165">
        <v>256500</v>
      </c>
      <c r="F43" s="165">
        <v>385000</v>
      </c>
      <c r="G43" s="191">
        <v>0</v>
      </c>
      <c r="H43" s="168">
        <f>(ROUNDUP((E43*G43)/100,0))*100</f>
        <v>0</v>
      </c>
      <c r="I43" s="89"/>
      <c r="J43" s="83" t="s">
        <v>183</v>
      </c>
      <c r="K43" s="144"/>
      <c r="L43" s="169">
        <f>IF(M43="","",M43-(F43+H43))</f>
        <v>0</v>
      </c>
      <c r="M43" s="145">
        <f>IF(K43=0,F43+H43,IF(K43="","",ROUNDUP((((F43+H43)*I43)/K43)/100,0)*100))</f>
        <v>385000</v>
      </c>
      <c r="N43" s="170">
        <f>IF(M43="","",M43/E43)</f>
        <v>1.5009746588693957</v>
      </c>
      <c r="O43" s="107" t="str">
        <f>IF(P43=0,"",(M43-P43)/P43)</f>
        <v/>
      </c>
      <c r="P43" s="95"/>
      <c r="Q43" s="171"/>
      <c r="R43" s="96"/>
      <c r="S43" s="95"/>
      <c r="T43" s="171"/>
      <c r="U43" s="96"/>
      <c r="V43" s="7" t="s">
        <v>122</v>
      </c>
      <c r="W43" s="7" t="s">
        <v>66</v>
      </c>
      <c r="X43" s="7" t="s">
        <v>280</v>
      </c>
      <c r="Y43" s="7" t="s">
        <v>70</v>
      </c>
      <c r="Z43" s="32"/>
      <c r="AA43" s="62"/>
      <c r="AB43" s="63"/>
    </row>
    <row r="44" spans="1:28" x14ac:dyDescent="0.15">
      <c r="A44" s="82"/>
      <c r="B44" s="162" t="s">
        <v>283</v>
      </c>
      <c r="C44" s="172" t="s">
        <v>284</v>
      </c>
      <c r="D44" s="173" t="s">
        <v>213</v>
      </c>
      <c r="E44" s="165">
        <v>217500</v>
      </c>
      <c r="F44" s="165">
        <v>327000</v>
      </c>
      <c r="G44" s="191">
        <v>0</v>
      </c>
      <c r="H44" s="168">
        <f>(ROUNDUP((E44*G44)/100,0))*100</f>
        <v>0</v>
      </c>
      <c r="I44" s="89"/>
      <c r="J44" s="83" t="s">
        <v>183</v>
      </c>
      <c r="K44" s="144"/>
      <c r="L44" s="169">
        <f>IF(M44="","",M44-(F44+H44))</f>
        <v>0</v>
      </c>
      <c r="M44" s="145">
        <f>IF(K44=0,F44+H44,IF(K44="","",ROUNDUP((((F44+H44)*I44)/K44)/100,0)*100))</f>
        <v>327000</v>
      </c>
      <c r="N44" s="170">
        <f>IF(M44="","",M44/E44)</f>
        <v>1.5034482758620689</v>
      </c>
      <c r="O44" s="107" t="str">
        <f>IF(P44=0,"",(M44-P44)/P44)</f>
        <v/>
      </c>
      <c r="P44" s="95"/>
      <c r="Q44" s="171"/>
      <c r="R44" s="96"/>
      <c r="S44" s="95"/>
      <c r="T44" s="171"/>
      <c r="U44" s="96"/>
      <c r="V44" s="7" t="s">
        <v>122</v>
      </c>
      <c r="W44" s="7" t="s">
        <v>65</v>
      </c>
      <c r="X44" s="7" t="s">
        <v>275</v>
      </c>
      <c r="Y44" s="7" t="s">
        <v>70</v>
      </c>
      <c r="Z44" s="32"/>
      <c r="AA44" s="62"/>
      <c r="AB44" s="63"/>
    </row>
    <row r="45" spans="1:28" x14ac:dyDescent="0.15">
      <c r="A45" s="82"/>
      <c r="B45" s="162" t="s">
        <v>285</v>
      </c>
      <c r="C45" s="172" t="s">
        <v>286</v>
      </c>
      <c r="D45" s="173" t="s">
        <v>213</v>
      </c>
      <c r="E45" s="165">
        <v>238800</v>
      </c>
      <c r="F45" s="165">
        <v>359000</v>
      </c>
      <c r="G45" s="191">
        <v>0</v>
      </c>
      <c r="H45" s="168">
        <f>(ROUNDUP((E45*G45)/100,0))*100</f>
        <v>0</v>
      </c>
      <c r="I45" s="89"/>
      <c r="J45" s="83" t="s">
        <v>183</v>
      </c>
      <c r="K45" s="144"/>
      <c r="L45" s="169">
        <f>IF(M45="","",M45-(F45+H45))</f>
        <v>0</v>
      </c>
      <c r="M45" s="145">
        <f>IF(K45=0,F45+H45,IF(K45="","",ROUNDUP((((F45+H45)*I45)/K45)/100,0)*100))</f>
        <v>359000</v>
      </c>
      <c r="N45" s="170">
        <f>IF(M45="","",M45/E45)</f>
        <v>1.5033500837520939</v>
      </c>
      <c r="O45" s="107" t="str">
        <f>IF(P45=0,"",(M45-P45)/P45)</f>
        <v/>
      </c>
      <c r="P45" s="95"/>
      <c r="Q45" s="171"/>
      <c r="R45" s="96"/>
      <c r="S45" s="95"/>
      <c r="T45" s="171"/>
      <c r="U45" s="96"/>
      <c r="V45" s="7" t="s">
        <v>122</v>
      </c>
      <c r="W45" s="7" t="s">
        <v>65</v>
      </c>
      <c r="X45" s="7" t="s">
        <v>275</v>
      </c>
      <c r="Y45" s="7" t="s">
        <v>70</v>
      </c>
      <c r="Z45" s="32"/>
      <c r="AA45" s="62"/>
      <c r="AB45" s="63"/>
    </row>
    <row r="46" spans="1:28" x14ac:dyDescent="0.15">
      <c r="A46" s="82"/>
      <c r="B46" s="192" t="s">
        <v>287</v>
      </c>
      <c r="C46" s="172" t="s">
        <v>288</v>
      </c>
      <c r="D46" s="173" t="s">
        <v>213</v>
      </c>
      <c r="E46" s="165">
        <v>218700</v>
      </c>
      <c r="F46" s="165">
        <v>329000</v>
      </c>
      <c r="G46" s="191">
        <v>0</v>
      </c>
      <c r="H46" s="168">
        <f>(ROUNDUP((E46*G46)/100,0))*100</f>
        <v>0</v>
      </c>
      <c r="I46" s="89"/>
      <c r="J46" s="83" t="s">
        <v>183</v>
      </c>
      <c r="K46" s="144"/>
      <c r="L46" s="169">
        <f>IF(M46="","",M46-(F46+H46))</f>
        <v>0</v>
      </c>
      <c r="M46" s="145">
        <f>IF(K46=0,F46+H46,IF(K46="","",ROUNDUP((((F46+H46)*I46)/K46)/100,0)*100))</f>
        <v>329000</v>
      </c>
      <c r="N46" s="170">
        <f>IF(M46="","",M46/E46)</f>
        <v>1.5043438500228623</v>
      </c>
      <c r="O46" s="107" t="str">
        <f>IF(P46=0,"",(M46-P46)/P46)</f>
        <v/>
      </c>
      <c r="P46" s="95"/>
      <c r="Q46" s="171"/>
      <c r="R46" s="96"/>
      <c r="S46" s="95"/>
      <c r="T46" s="171"/>
      <c r="U46" s="96"/>
      <c r="V46" s="7" t="s">
        <v>122</v>
      </c>
      <c r="W46" s="7" t="s">
        <v>62</v>
      </c>
      <c r="X46" s="7" t="s">
        <v>262</v>
      </c>
      <c r="Y46" s="7" t="s">
        <v>70</v>
      </c>
      <c r="Z46" s="32"/>
      <c r="AA46" s="62"/>
      <c r="AB46" s="63"/>
    </row>
    <row r="47" spans="1:28" x14ac:dyDescent="0.15">
      <c r="A47" s="82"/>
      <c r="B47" s="193" t="s">
        <v>294</v>
      </c>
      <c r="C47" s="172" t="s">
        <v>295</v>
      </c>
      <c r="D47" s="173" t="s">
        <v>213</v>
      </c>
      <c r="E47" s="165">
        <v>203300</v>
      </c>
      <c r="F47" s="165">
        <v>305000</v>
      </c>
      <c r="G47" s="191">
        <v>0</v>
      </c>
      <c r="H47" s="168">
        <f>(ROUNDUP((E47*G47)/100,0))*100</f>
        <v>0</v>
      </c>
      <c r="I47" s="89"/>
      <c r="J47" s="83" t="s">
        <v>183</v>
      </c>
      <c r="K47" s="144"/>
      <c r="L47" s="169">
        <f>IF(M47="","",M47-(F47+H47))</f>
        <v>0</v>
      </c>
      <c r="M47" s="145">
        <f>IF(K47=0,F47+H47,IF(K47="","",ROUNDUP((((F47+H47)*I47)/K47)/100,0)*100))</f>
        <v>305000</v>
      </c>
      <c r="N47" s="170">
        <f>IF(M47="","",M47/E47)</f>
        <v>1.5002459419576979</v>
      </c>
      <c r="O47" s="107" t="str">
        <f>IF(P47=0,"",(M47-P47)/P47)</f>
        <v/>
      </c>
      <c r="P47" s="95"/>
      <c r="Q47" s="171"/>
      <c r="R47" s="96"/>
      <c r="S47" s="95"/>
      <c r="T47" s="171"/>
      <c r="U47" s="96"/>
      <c r="V47" s="7" t="s">
        <v>122</v>
      </c>
      <c r="W47" s="7" t="s">
        <v>65</v>
      </c>
      <c r="X47" s="7" t="s">
        <v>275</v>
      </c>
      <c r="Y47" s="7" t="s">
        <v>70</v>
      </c>
      <c r="Z47" s="32"/>
      <c r="AA47" s="62"/>
      <c r="AB47" s="63"/>
    </row>
    <row r="48" spans="1:28" x14ac:dyDescent="0.15">
      <c r="A48" s="82"/>
      <c r="B48" s="162" t="s">
        <v>296</v>
      </c>
      <c r="C48" s="172" t="s">
        <v>297</v>
      </c>
      <c r="D48" s="173" t="s">
        <v>213</v>
      </c>
      <c r="E48" s="165">
        <v>230200</v>
      </c>
      <c r="F48" s="165">
        <v>346000</v>
      </c>
      <c r="G48" s="191">
        <v>0</v>
      </c>
      <c r="H48" s="168">
        <f>(ROUNDUP((E48*G48)/100,0))*100</f>
        <v>0</v>
      </c>
      <c r="I48" s="89"/>
      <c r="J48" s="83" t="s">
        <v>183</v>
      </c>
      <c r="K48" s="144"/>
      <c r="L48" s="169">
        <f>IF(M48="","",M48-(F48+H48))</f>
        <v>0</v>
      </c>
      <c r="M48" s="145">
        <f>IF(K48=0,F48+H48,IF(K48="","",ROUNDUP((((F48+H48)*I48)/K48)/100,0)*100))</f>
        <v>346000</v>
      </c>
      <c r="N48" s="170">
        <f>IF(M48="","",M48/E48)</f>
        <v>1.5030408340573413</v>
      </c>
      <c r="O48" s="107" t="str">
        <f>IF(P48=0,"",(M48-P48)/P48)</f>
        <v/>
      </c>
      <c r="P48" s="95"/>
      <c r="Q48" s="171"/>
      <c r="R48" s="96"/>
      <c r="S48" s="95"/>
      <c r="T48" s="171"/>
      <c r="U48" s="96"/>
      <c r="V48" s="7" t="s">
        <v>122</v>
      </c>
      <c r="W48" s="7" t="s">
        <v>62</v>
      </c>
      <c r="X48" s="7" t="s">
        <v>262</v>
      </c>
      <c r="Y48" s="7" t="s">
        <v>70</v>
      </c>
      <c r="Z48" s="32"/>
      <c r="AA48" s="62"/>
      <c r="AB48" s="63"/>
    </row>
    <row r="49" spans="1:28" x14ac:dyDescent="0.15">
      <c r="A49" s="82"/>
      <c r="B49" s="162" t="s">
        <v>298</v>
      </c>
      <c r="C49" s="172" t="s">
        <v>299</v>
      </c>
      <c r="D49" s="173" t="s">
        <v>213</v>
      </c>
      <c r="E49" s="165">
        <v>222300</v>
      </c>
      <c r="F49" s="165">
        <v>334000</v>
      </c>
      <c r="G49" s="191">
        <v>0</v>
      </c>
      <c r="H49" s="168">
        <f>(ROUNDUP((E49*G49)/100,0))*100</f>
        <v>0</v>
      </c>
      <c r="I49" s="89"/>
      <c r="J49" s="83" t="s">
        <v>183</v>
      </c>
      <c r="K49" s="144"/>
      <c r="L49" s="169">
        <f>IF(M49="","",M49-(F49+H49))</f>
        <v>0</v>
      </c>
      <c r="M49" s="145">
        <f>IF(K49=0,F49+H49,IF(K49="","",ROUNDUP((((F49+H49)*I49)/K49)/100,0)*100))</f>
        <v>334000</v>
      </c>
      <c r="N49" s="170">
        <f>IF(M49="","",M49/E49)</f>
        <v>1.5024741340530814</v>
      </c>
      <c r="O49" s="107" t="str">
        <f>IF(P49=0,"",(M49-P49)/P49)</f>
        <v/>
      </c>
      <c r="P49" s="95"/>
      <c r="Q49" s="171"/>
      <c r="R49" s="96"/>
      <c r="S49" s="95"/>
      <c r="T49" s="171"/>
      <c r="U49" s="96"/>
      <c r="V49" s="7" t="s">
        <v>122</v>
      </c>
      <c r="W49" s="7" t="s">
        <v>64</v>
      </c>
      <c r="X49" s="7" t="s">
        <v>293</v>
      </c>
      <c r="Y49" s="7" t="s">
        <v>70</v>
      </c>
      <c r="Z49" s="32"/>
      <c r="AA49" s="62"/>
      <c r="AB49" s="63"/>
    </row>
    <row r="50" spans="1:28" x14ac:dyDescent="0.15">
      <c r="A50" s="82"/>
      <c r="B50" s="162" t="s">
        <v>300</v>
      </c>
      <c r="C50" s="172" t="s">
        <v>301</v>
      </c>
      <c r="D50" s="173" t="s">
        <v>213</v>
      </c>
      <c r="E50" s="165">
        <v>276300</v>
      </c>
      <c r="F50" s="165">
        <v>415000</v>
      </c>
      <c r="G50" s="191">
        <v>0</v>
      </c>
      <c r="H50" s="168">
        <f>(ROUNDUP((E50*G50)/100,0))*100</f>
        <v>0</v>
      </c>
      <c r="I50" s="89"/>
      <c r="J50" s="83" t="s">
        <v>183</v>
      </c>
      <c r="K50" s="144"/>
      <c r="L50" s="169">
        <f>IF(M50="","",M50-(F50+H50))</f>
        <v>0</v>
      </c>
      <c r="M50" s="145">
        <f>IF(K50=0,F50+H50,IF(K50="","",ROUNDUP((((F50+H50)*I50)/K50)/100,0)*100))</f>
        <v>415000</v>
      </c>
      <c r="N50" s="170">
        <f>IF(M50="","",M50/E50)</f>
        <v>1.5019905899384727</v>
      </c>
      <c r="O50" s="107" t="str">
        <f>IF(P50=0,"",(M50-P50)/P50)</f>
        <v/>
      </c>
      <c r="P50" s="95"/>
      <c r="Q50" s="171"/>
      <c r="R50" s="96"/>
      <c r="S50" s="95"/>
      <c r="T50" s="171"/>
      <c r="U50" s="96"/>
      <c r="V50" s="7" t="s">
        <v>122</v>
      </c>
      <c r="W50" s="7" t="s">
        <v>63</v>
      </c>
      <c r="X50" s="7" t="s">
        <v>265</v>
      </c>
      <c r="Y50" s="7" t="s">
        <v>70</v>
      </c>
      <c r="Z50" s="32"/>
      <c r="AA50" s="62"/>
      <c r="AB50" s="63"/>
    </row>
    <row r="51" spans="1:28" x14ac:dyDescent="0.15">
      <c r="A51" s="82"/>
      <c r="B51" s="162" t="s">
        <v>302</v>
      </c>
      <c r="C51" s="172" t="s">
        <v>303</v>
      </c>
      <c r="D51" s="173" t="s">
        <v>213</v>
      </c>
      <c r="E51" s="165">
        <v>203300</v>
      </c>
      <c r="F51" s="165">
        <v>305000</v>
      </c>
      <c r="G51" s="191">
        <v>0</v>
      </c>
      <c r="H51" s="168">
        <f>(ROUNDUP((E51*G51)/100,0))*100</f>
        <v>0</v>
      </c>
      <c r="I51" s="89"/>
      <c r="J51" s="83" t="s">
        <v>183</v>
      </c>
      <c r="K51" s="144"/>
      <c r="L51" s="169">
        <f>IF(M51="","",M51-(F51+H51))</f>
        <v>0</v>
      </c>
      <c r="M51" s="145">
        <f>IF(K51=0,F51+H51,IF(K51="","",ROUNDUP((((F51+H51)*I51)/K51)/100,0)*100))</f>
        <v>305000</v>
      </c>
      <c r="N51" s="170">
        <f>IF(M51="","",M51/E51)</f>
        <v>1.5002459419576979</v>
      </c>
      <c r="O51" s="107" t="str">
        <f>IF(P51=0,"",(M51-P51)/P51)</f>
        <v/>
      </c>
      <c r="P51" s="95"/>
      <c r="Q51" s="171"/>
      <c r="R51" s="96"/>
      <c r="S51" s="95"/>
      <c r="T51" s="171"/>
      <c r="U51" s="96"/>
      <c r="V51" s="7" t="s">
        <v>122</v>
      </c>
      <c r="W51" s="7" t="s">
        <v>62</v>
      </c>
      <c r="X51" s="7" t="s">
        <v>262</v>
      </c>
      <c r="Y51" s="7" t="s">
        <v>70</v>
      </c>
      <c r="Z51" s="32"/>
      <c r="AA51" s="62"/>
      <c r="AB51" s="63"/>
    </row>
    <row r="52" spans="1:28" x14ac:dyDescent="0.15">
      <c r="A52" s="82"/>
      <c r="B52" s="162" t="s">
        <v>304</v>
      </c>
      <c r="C52" s="163" t="s">
        <v>305</v>
      </c>
      <c r="D52" s="164" t="s">
        <v>213</v>
      </c>
      <c r="E52" s="165">
        <v>198600</v>
      </c>
      <c r="F52" s="165">
        <v>298000</v>
      </c>
      <c r="G52" s="191">
        <v>0</v>
      </c>
      <c r="H52" s="168">
        <f>(ROUNDUP((E52*G52)/100,0))*100</f>
        <v>0</v>
      </c>
      <c r="I52" s="89"/>
      <c r="J52" s="83" t="s">
        <v>183</v>
      </c>
      <c r="K52" s="144"/>
      <c r="L52" s="169">
        <f>IF(M52="","",M52-(F52+H52))</f>
        <v>0</v>
      </c>
      <c r="M52" s="145">
        <f>IF(K52=0,F52+H52,IF(K52="","",ROUNDUP((((F52+H52)*I52)/K52)/100,0)*100))</f>
        <v>298000</v>
      </c>
      <c r="N52" s="170">
        <f>IF(M52="","",M52/E52)</f>
        <v>1.500503524672709</v>
      </c>
      <c r="O52" s="107" t="str">
        <f>IF(P52=0,"",(M52-P52)/P52)</f>
        <v/>
      </c>
      <c r="P52" s="95"/>
      <c r="Q52" s="171"/>
      <c r="R52" s="96"/>
      <c r="S52" s="95"/>
      <c r="T52" s="171"/>
      <c r="U52" s="96"/>
      <c r="V52" s="7" t="s">
        <v>122</v>
      </c>
      <c r="W52" s="7" t="s">
        <v>67</v>
      </c>
      <c r="X52" s="7" t="s">
        <v>306</v>
      </c>
      <c r="Y52" s="7" t="s">
        <v>70</v>
      </c>
      <c r="Z52" s="32"/>
      <c r="AA52" s="62"/>
      <c r="AB52" s="63"/>
    </row>
    <row r="53" spans="1:28" x14ac:dyDescent="0.15">
      <c r="A53" s="82"/>
      <c r="B53" s="162" t="s">
        <v>314</v>
      </c>
      <c r="C53" s="172" t="s">
        <v>315</v>
      </c>
      <c r="D53" s="173" t="s">
        <v>213</v>
      </c>
      <c r="E53" s="165">
        <v>204900</v>
      </c>
      <c r="F53" s="165">
        <v>308000</v>
      </c>
      <c r="G53" s="191">
        <v>0</v>
      </c>
      <c r="H53" s="168">
        <f>(ROUNDUP((E53*G53)/100,0))*100</f>
        <v>0</v>
      </c>
      <c r="I53" s="89"/>
      <c r="J53" s="83" t="s">
        <v>183</v>
      </c>
      <c r="K53" s="144"/>
      <c r="L53" s="169">
        <f>IF(M53="","",M53-(F53+H53))</f>
        <v>0</v>
      </c>
      <c r="M53" s="145">
        <f>IF(K53=0,F53+H53,IF(K53="","",ROUNDUP((((F53+H53)*I53)/K53)/100,0)*100))</f>
        <v>308000</v>
      </c>
      <c r="N53" s="170">
        <f>IF(M53="","",M53/E53)</f>
        <v>1.5031722791605662</v>
      </c>
      <c r="O53" s="107" t="str">
        <f>IF(P53=0,"",(M53-P53)/P53)</f>
        <v/>
      </c>
      <c r="P53" s="95"/>
      <c r="Q53" s="171"/>
      <c r="R53" s="96"/>
      <c r="S53" s="95"/>
      <c r="T53" s="171"/>
      <c r="U53" s="96"/>
      <c r="V53" s="7" t="s">
        <v>122</v>
      </c>
      <c r="W53" s="7" t="s">
        <v>64</v>
      </c>
      <c r="X53" s="7" t="s">
        <v>293</v>
      </c>
      <c r="Y53" s="7" t="s">
        <v>70</v>
      </c>
      <c r="Z53" s="32"/>
      <c r="AA53" s="62"/>
      <c r="AB53" s="63"/>
    </row>
    <row r="54" spans="1:28" x14ac:dyDescent="0.15">
      <c r="A54" s="82"/>
      <c r="B54" s="192" t="s">
        <v>318</v>
      </c>
      <c r="C54" s="172" t="s">
        <v>319</v>
      </c>
      <c r="D54" s="173" t="s">
        <v>213</v>
      </c>
      <c r="E54" s="165">
        <v>213500</v>
      </c>
      <c r="F54" s="165">
        <v>321000</v>
      </c>
      <c r="G54" s="191">
        <v>0</v>
      </c>
      <c r="H54" s="168">
        <f>(ROUNDUP((E54*G54)/100,0))*100</f>
        <v>0</v>
      </c>
      <c r="I54" s="89"/>
      <c r="J54" s="83" t="s">
        <v>183</v>
      </c>
      <c r="K54" s="144"/>
      <c r="L54" s="169">
        <f>IF(M54="","",M54-(F54+H54))</f>
        <v>0</v>
      </c>
      <c r="M54" s="145">
        <f>IF(K54=0,F54+H54,IF(K54="","",ROUNDUP((((F54+H54)*I54)/K54)/100,0)*100))</f>
        <v>321000</v>
      </c>
      <c r="N54" s="170">
        <f>IF(M54="","",M54/E54)</f>
        <v>1.5035128805620608</v>
      </c>
      <c r="O54" s="107" t="str">
        <f>IF(P54=0,"",(M54-P54)/P54)</f>
        <v/>
      </c>
      <c r="P54" s="95"/>
      <c r="Q54" s="171"/>
      <c r="R54" s="96"/>
      <c r="S54" s="95"/>
      <c r="T54" s="171"/>
      <c r="U54" s="96"/>
      <c r="V54" s="7" t="s">
        <v>122</v>
      </c>
      <c r="W54" s="7" t="s">
        <v>64</v>
      </c>
      <c r="X54" s="7" t="s">
        <v>293</v>
      </c>
      <c r="Y54" s="7" t="s">
        <v>70</v>
      </c>
      <c r="Z54" s="32"/>
      <c r="AA54" s="62"/>
      <c r="AB54" s="63"/>
    </row>
    <row r="55" spans="1:28" x14ac:dyDescent="0.15">
      <c r="A55" s="82"/>
      <c r="B55" s="162" t="s">
        <v>307</v>
      </c>
      <c r="C55" s="172" t="s">
        <v>308</v>
      </c>
      <c r="D55" s="173" t="s">
        <v>212</v>
      </c>
      <c r="E55" s="165">
        <v>184300</v>
      </c>
      <c r="F55" s="165">
        <v>277000</v>
      </c>
      <c r="G55" s="191">
        <v>0</v>
      </c>
      <c r="H55" s="168">
        <f>(ROUNDUP((E55*G55)/100,0))*100</f>
        <v>0</v>
      </c>
      <c r="I55" s="89"/>
      <c r="J55" s="83" t="s">
        <v>183</v>
      </c>
      <c r="K55" s="144"/>
      <c r="L55" s="169">
        <f>IF(M55="","",M55-(F55+H55))</f>
        <v>0</v>
      </c>
      <c r="M55" s="145">
        <f>IF(K55=0,F55+H55,IF(K55="","",ROUNDUP((((F55+H55)*I55)/K55)/100,0)*100))</f>
        <v>277000</v>
      </c>
      <c r="N55" s="170">
        <f>IF(M55="","",M55/E55)</f>
        <v>1.5029842647856755</v>
      </c>
      <c r="O55" s="107" t="str">
        <f>IF(P55=0,"",(M55-P55)/P55)</f>
        <v/>
      </c>
      <c r="P55" s="95"/>
      <c r="Q55" s="171"/>
      <c r="R55" s="96"/>
      <c r="S55" s="95"/>
      <c r="T55" s="171"/>
      <c r="U55" s="96"/>
      <c r="V55" s="7" t="s">
        <v>122</v>
      </c>
      <c r="W55" s="7" t="s">
        <v>63</v>
      </c>
      <c r="X55" s="7" t="s">
        <v>265</v>
      </c>
      <c r="Y55" s="7" t="s">
        <v>70</v>
      </c>
      <c r="Z55" s="7"/>
      <c r="AA55" s="62"/>
      <c r="AB55" s="63"/>
    </row>
    <row r="56" spans="1:28" x14ac:dyDescent="0.15">
      <c r="A56" s="82"/>
      <c r="B56" s="162" t="s">
        <v>309</v>
      </c>
      <c r="C56" s="172" t="s">
        <v>310</v>
      </c>
      <c r="D56" s="173" t="s">
        <v>212</v>
      </c>
      <c r="E56" s="165">
        <v>210700</v>
      </c>
      <c r="F56" s="165">
        <v>317000</v>
      </c>
      <c r="G56" s="191">
        <v>0</v>
      </c>
      <c r="H56" s="168">
        <f>(ROUNDUP((E56*G56)/100,0))*100</f>
        <v>0</v>
      </c>
      <c r="I56" s="89"/>
      <c r="J56" s="83" t="s">
        <v>183</v>
      </c>
      <c r="K56" s="144"/>
      <c r="L56" s="169">
        <f>IF(M56="","",M56-(F56+H56))</f>
        <v>0</v>
      </c>
      <c r="M56" s="145">
        <f>IF(K56=0,F56+H56,IF(K56="","",ROUNDUP((((F56+H56)*I56)/K56)/100,0)*100))</f>
        <v>317000</v>
      </c>
      <c r="N56" s="170">
        <f>IF(M56="","",M56/E56)</f>
        <v>1.5045087802562886</v>
      </c>
      <c r="O56" s="107" t="str">
        <f>IF(P56=0,"",(M56-P56)/P56)</f>
        <v/>
      </c>
      <c r="P56" s="95"/>
      <c r="Q56" s="171"/>
      <c r="R56" s="96"/>
      <c r="S56" s="95"/>
      <c r="T56" s="171"/>
      <c r="U56" s="96"/>
      <c r="V56" s="7" t="s">
        <v>122</v>
      </c>
      <c r="W56" s="7" t="s">
        <v>62</v>
      </c>
      <c r="X56" s="7" t="s">
        <v>262</v>
      </c>
      <c r="Y56" s="7" t="s">
        <v>70</v>
      </c>
      <c r="Z56" s="32"/>
      <c r="AA56" s="62"/>
      <c r="AB56" s="63"/>
    </row>
    <row r="57" spans="1:28" x14ac:dyDescent="0.15">
      <c r="A57" s="82"/>
      <c r="B57" s="193" t="s">
        <v>311</v>
      </c>
      <c r="C57" s="172" t="s">
        <v>312</v>
      </c>
      <c r="D57" s="173" t="s">
        <v>212</v>
      </c>
      <c r="E57" s="165">
        <v>206900</v>
      </c>
      <c r="F57" s="165">
        <v>311000</v>
      </c>
      <c r="G57" s="191">
        <v>0</v>
      </c>
      <c r="H57" s="168">
        <f>(ROUNDUP((E57*G57)/100,0))*100</f>
        <v>0</v>
      </c>
      <c r="I57" s="89"/>
      <c r="J57" s="83" t="s">
        <v>183</v>
      </c>
      <c r="K57" s="144"/>
      <c r="L57" s="169">
        <f>IF(M57="","",M57-(F57+H57))</f>
        <v>0</v>
      </c>
      <c r="M57" s="145">
        <f>IF(K57=0,F57+H57,IF(K57="","",ROUNDUP((((F57+H57)*I57)/K57)/100,0)*100))</f>
        <v>311000</v>
      </c>
      <c r="N57" s="170">
        <f>IF(M57="","",M57/E57)</f>
        <v>1.5031416143064282</v>
      </c>
      <c r="O57" s="107" t="str">
        <f>IF(P57=0,"",(M57-P57)/P57)</f>
        <v/>
      </c>
      <c r="P57" s="95"/>
      <c r="Q57" s="171"/>
      <c r="R57" s="96"/>
      <c r="S57" s="95"/>
      <c r="T57" s="171"/>
      <c r="U57" s="96"/>
      <c r="V57" s="7" t="s">
        <v>122</v>
      </c>
      <c r="W57" s="7" t="s">
        <v>62</v>
      </c>
      <c r="X57" s="7" t="s">
        <v>262</v>
      </c>
      <c r="Y57" s="7" t="s">
        <v>70</v>
      </c>
      <c r="Z57" s="7"/>
      <c r="AA57" s="62"/>
      <c r="AB57" s="63"/>
    </row>
    <row r="58" spans="1:28" x14ac:dyDescent="0.15">
      <c r="A58" s="82"/>
      <c r="B58" s="162" t="s">
        <v>320</v>
      </c>
      <c r="C58" s="163" t="s">
        <v>321</v>
      </c>
      <c r="D58" s="164" t="s">
        <v>212</v>
      </c>
      <c r="E58" s="165">
        <v>201900</v>
      </c>
      <c r="F58" s="165">
        <v>303000</v>
      </c>
      <c r="G58" s="191">
        <v>0</v>
      </c>
      <c r="H58" s="168">
        <f>(ROUNDUP((E58*G58)/100,0))*100</f>
        <v>0</v>
      </c>
      <c r="I58" s="89"/>
      <c r="J58" s="83" t="s">
        <v>183</v>
      </c>
      <c r="K58" s="144"/>
      <c r="L58" s="169">
        <f>IF(M58="","",M58-(F58+H58))</f>
        <v>0</v>
      </c>
      <c r="M58" s="145">
        <f>IF(K58=0,F58+H58,IF(K58="","",ROUNDUP((((F58+H58)*I58)/K58)/100,0)*100))</f>
        <v>303000</v>
      </c>
      <c r="N58" s="170">
        <f>IF(M58="","",M58/E58)</f>
        <v>1.5007429420505201</v>
      </c>
      <c r="O58" s="107" t="str">
        <f>IF(P58=0,"",(M58-P58)/P58)</f>
        <v/>
      </c>
      <c r="P58" s="95"/>
      <c r="Q58" s="171"/>
      <c r="R58" s="96"/>
      <c r="S58" s="95"/>
      <c r="T58" s="171"/>
      <c r="U58" s="96"/>
      <c r="V58" s="7" t="s">
        <v>122</v>
      </c>
      <c r="W58" s="7" t="s">
        <v>63</v>
      </c>
      <c r="X58" s="7" t="s">
        <v>265</v>
      </c>
      <c r="Y58" s="7" t="s">
        <v>70</v>
      </c>
      <c r="Z58" s="7"/>
      <c r="AA58" s="62"/>
      <c r="AB58" s="63"/>
    </row>
    <row r="59" spans="1:28" x14ac:dyDescent="0.15">
      <c r="A59" s="82"/>
      <c r="B59" s="162"/>
      <c r="C59" s="172"/>
      <c r="D59" s="173"/>
      <c r="E59" s="165"/>
      <c r="F59" s="165"/>
      <c r="G59" s="191"/>
      <c r="H59" s="168"/>
      <c r="I59" s="89"/>
      <c r="J59" s="83"/>
      <c r="K59" s="144"/>
      <c r="L59" s="169"/>
      <c r="M59" s="145"/>
      <c r="N59" s="170"/>
      <c r="O59" s="107"/>
      <c r="P59" s="95"/>
      <c r="Q59" s="171"/>
      <c r="R59" s="96"/>
      <c r="S59" s="95"/>
      <c r="T59" s="171"/>
      <c r="U59" s="96"/>
      <c r="Z59" s="7"/>
      <c r="AA59" s="62"/>
      <c r="AB59" s="63"/>
    </row>
    <row r="60" spans="1:28" ht="14.25" thickBot="1" x14ac:dyDescent="0.2">
      <c r="A60" s="127"/>
      <c r="B60" s="174"/>
      <c r="C60" s="175" t="s">
        <v>430</v>
      </c>
      <c r="D60" s="176"/>
      <c r="E60" s="177">
        <v>6212700</v>
      </c>
      <c r="F60" s="177">
        <v>9331000</v>
      </c>
      <c r="G60" s="194"/>
      <c r="H60" s="179"/>
      <c r="I60" s="128"/>
      <c r="J60" s="129"/>
      <c r="K60" s="151"/>
      <c r="L60" s="180"/>
      <c r="M60" s="150">
        <v>0</v>
      </c>
      <c r="N60" s="181"/>
      <c r="O60" s="141"/>
      <c r="P60" s="130"/>
      <c r="Q60" s="182"/>
      <c r="R60" s="131"/>
      <c r="S60" s="130"/>
      <c r="T60" s="182"/>
      <c r="U60" s="131"/>
      <c r="Z60" s="7"/>
      <c r="AA60" s="62"/>
      <c r="AB60" s="63"/>
    </row>
    <row r="61" spans="1:28" ht="14.25" thickTop="1" x14ac:dyDescent="0.15">
      <c r="A61" s="122"/>
      <c r="B61" s="195"/>
      <c r="C61" s="183"/>
      <c r="D61" s="184"/>
      <c r="E61" s="185"/>
      <c r="F61" s="185"/>
      <c r="G61" s="196"/>
      <c r="H61" s="187"/>
      <c r="I61" s="123"/>
      <c r="J61" s="124"/>
      <c r="K61" s="152"/>
      <c r="L61" s="188"/>
      <c r="M61" s="149"/>
      <c r="N61" s="189"/>
      <c r="O61" s="140"/>
      <c r="P61" s="125"/>
      <c r="Q61" s="190"/>
      <c r="R61" s="126"/>
      <c r="S61" s="125"/>
      <c r="T61" s="190"/>
      <c r="U61" s="126"/>
      <c r="Z61" s="7"/>
      <c r="AA61" s="62"/>
      <c r="AB61" s="63"/>
    </row>
    <row r="62" spans="1:28" x14ac:dyDescent="0.15">
      <c r="A62" s="82"/>
      <c r="B62" s="162"/>
      <c r="C62" s="172"/>
      <c r="D62" s="173"/>
      <c r="E62" s="165"/>
      <c r="F62" s="165"/>
      <c r="G62" s="191"/>
      <c r="H62" s="168"/>
      <c r="I62" s="89"/>
      <c r="J62" s="83"/>
      <c r="K62" s="144"/>
      <c r="L62" s="169"/>
      <c r="M62" s="145"/>
      <c r="N62" s="170"/>
      <c r="O62" s="107"/>
      <c r="P62" s="95"/>
      <c r="Q62" s="171"/>
      <c r="R62" s="96"/>
      <c r="S62" s="95"/>
      <c r="T62" s="171"/>
      <c r="U62" s="96"/>
      <c r="Z62" s="7"/>
      <c r="AA62" s="62"/>
      <c r="AB62" s="63"/>
    </row>
    <row r="63" spans="1:28" x14ac:dyDescent="0.15">
      <c r="A63" s="82"/>
      <c r="B63" s="162"/>
      <c r="C63" s="172"/>
      <c r="D63" s="173"/>
      <c r="E63" s="165"/>
      <c r="F63" s="165"/>
      <c r="G63" s="191"/>
      <c r="H63" s="168"/>
      <c r="I63" s="89"/>
      <c r="J63" s="83"/>
      <c r="K63" s="144"/>
      <c r="L63" s="169"/>
      <c r="M63" s="145"/>
      <c r="N63" s="170"/>
      <c r="O63" s="107"/>
      <c r="P63" s="95"/>
      <c r="Q63" s="171"/>
      <c r="R63" s="96"/>
      <c r="S63" s="95"/>
      <c r="T63" s="171"/>
      <c r="U63" s="96"/>
      <c r="Z63" s="32"/>
      <c r="AA63" s="62"/>
      <c r="AB63" s="63"/>
    </row>
    <row r="64" spans="1:28" x14ac:dyDescent="0.15">
      <c r="A64" s="82"/>
      <c r="B64" s="162"/>
      <c r="C64" s="172"/>
      <c r="D64" s="173"/>
      <c r="E64" s="165"/>
      <c r="F64" s="165"/>
      <c r="G64" s="191"/>
      <c r="H64" s="168"/>
      <c r="I64" s="89"/>
      <c r="J64" s="83"/>
      <c r="K64" s="144"/>
      <c r="L64" s="169"/>
      <c r="M64" s="145"/>
      <c r="N64" s="170"/>
      <c r="O64" s="107"/>
      <c r="P64" s="95"/>
      <c r="Q64" s="171"/>
      <c r="R64" s="96"/>
      <c r="S64" s="95"/>
      <c r="T64" s="171"/>
      <c r="U64" s="96"/>
      <c r="Z64" s="32"/>
      <c r="AA64" s="62"/>
      <c r="AB64" s="63"/>
    </row>
    <row r="65" spans="1:28" x14ac:dyDescent="0.15">
      <c r="A65" s="82"/>
      <c r="B65" s="162"/>
      <c r="C65" s="172"/>
      <c r="D65" s="173"/>
      <c r="E65" s="165"/>
      <c r="F65" s="165"/>
      <c r="G65" s="191"/>
      <c r="H65" s="168"/>
      <c r="I65" s="89"/>
      <c r="J65" s="83"/>
      <c r="K65" s="144"/>
      <c r="L65" s="169"/>
      <c r="M65" s="145"/>
      <c r="N65" s="170"/>
      <c r="O65" s="107"/>
      <c r="P65" s="95"/>
      <c r="Q65" s="171"/>
      <c r="R65" s="96"/>
      <c r="S65" s="95"/>
      <c r="T65" s="171"/>
      <c r="U65" s="96"/>
      <c r="Z65" s="32"/>
      <c r="AA65" s="62"/>
      <c r="AB65" s="63"/>
    </row>
    <row r="66" spans="1:28" x14ac:dyDescent="0.15">
      <c r="A66" s="82"/>
      <c r="B66" s="162"/>
      <c r="C66" s="172"/>
      <c r="D66" s="173"/>
      <c r="E66" s="165"/>
      <c r="F66" s="165"/>
      <c r="G66" s="191"/>
      <c r="H66" s="168"/>
      <c r="I66" s="89"/>
      <c r="J66" s="83"/>
      <c r="K66" s="144"/>
      <c r="L66" s="169"/>
      <c r="M66" s="145"/>
      <c r="N66" s="170"/>
      <c r="O66" s="107"/>
      <c r="P66" s="95"/>
      <c r="Q66" s="171"/>
      <c r="R66" s="96"/>
      <c r="S66" s="95"/>
      <c r="T66" s="171"/>
      <c r="U66" s="96"/>
      <c r="Z66" s="7"/>
    </row>
    <row r="67" spans="1:28" x14ac:dyDescent="0.15">
      <c r="A67" s="82"/>
      <c r="B67" s="162"/>
      <c r="C67" s="172"/>
      <c r="D67" s="173"/>
      <c r="E67" s="165"/>
      <c r="F67" s="165"/>
      <c r="G67" s="191"/>
      <c r="H67" s="168"/>
      <c r="I67" s="89"/>
      <c r="J67" s="83"/>
      <c r="K67" s="144"/>
      <c r="L67" s="169"/>
      <c r="M67" s="145"/>
      <c r="N67" s="170"/>
      <c r="O67" s="107"/>
      <c r="P67" s="95"/>
      <c r="Q67" s="171"/>
      <c r="R67" s="96"/>
      <c r="S67" s="95"/>
      <c r="T67" s="171"/>
      <c r="U67" s="96"/>
      <c r="Z67" s="7"/>
    </row>
    <row r="68" spans="1:28" x14ac:dyDescent="0.15">
      <c r="A68" s="82"/>
      <c r="B68" s="162"/>
      <c r="C68" s="172"/>
      <c r="D68" s="173"/>
      <c r="E68" s="165"/>
      <c r="F68" s="165"/>
      <c r="G68" s="191"/>
      <c r="H68" s="169"/>
      <c r="I68" s="89"/>
      <c r="J68" s="83"/>
      <c r="K68" s="144"/>
      <c r="L68" s="169"/>
      <c r="M68" s="145"/>
      <c r="N68" s="170"/>
      <c r="O68" s="107"/>
      <c r="P68" s="95"/>
      <c r="Q68" s="171"/>
      <c r="R68" s="96"/>
      <c r="S68" s="95"/>
      <c r="T68" s="171"/>
      <c r="U68" s="96"/>
      <c r="Z68" s="7"/>
    </row>
    <row r="69" spans="1:28" x14ac:dyDescent="0.15">
      <c r="A69" s="82"/>
      <c r="B69" s="162"/>
      <c r="C69" s="163"/>
      <c r="D69" s="164"/>
      <c r="E69" s="165"/>
      <c r="F69" s="165"/>
      <c r="G69" s="191"/>
      <c r="H69" s="169"/>
      <c r="I69" s="89"/>
      <c r="J69" s="83"/>
      <c r="K69" s="144"/>
      <c r="L69" s="169"/>
      <c r="M69" s="145"/>
      <c r="N69" s="170"/>
      <c r="O69" s="107"/>
      <c r="P69" s="95"/>
      <c r="Q69" s="171"/>
      <c r="R69" s="96"/>
      <c r="S69" s="95"/>
      <c r="T69" s="171"/>
      <c r="U69" s="96"/>
      <c r="Z69" s="7"/>
    </row>
    <row r="70" spans="1:28" x14ac:dyDescent="0.15">
      <c r="A70" s="82"/>
      <c r="B70" s="162"/>
      <c r="C70" s="172"/>
      <c r="D70" s="173"/>
      <c r="E70" s="165"/>
      <c r="F70" s="165"/>
      <c r="G70" s="167"/>
      <c r="H70" s="169"/>
      <c r="I70" s="89"/>
      <c r="J70" s="83"/>
      <c r="K70" s="144"/>
      <c r="L70" s="169"/>
      <c r="M70" s="145"/>
      <c r="N70" s="170"/>
      <c r="O70" s="107"/>
      <c r="P70" s="95"/>
      <c r="Q70" s="171"/>
      <c r="R70" s="96"/>
      <c r="S70" s="95"/>
      <c r="T70" s="171"/>
      <c r="U70" s="96"/>
      <c r="Z70" s="7"/>
    </row>
    <row r="71" spans="1:28" x14ac:dyDescent="0.15">
      <c r="A71" s="82"/>
      <c r="B71" s="162"/>
      <c r="C71" s="172"/>
      <c r="D71" s="173"/>
      <c r="E71" s="165"/>
      <c r="F71" s="165"/>
      <c r="G71" s="167"/>
      <c r="H71" s="169"/>
      <c r="I71" s="89"/>
      <c r="J71" s="83"/>
      <c r="K71" s="144"/>
      <c r="L71" s="169"/>
      <c r="M71" s="145"/>
      <c r="N71" s="170"/>
      <c r="O71" s="107"/>
      <c r="P71" s="95"/>
      <c r="Q71" s="171"/>
      <c r="R71" s="96"/>
      <c r="S71" s="95"/>
      <c r="T71" s="171"/>
      <c r="U71" s="96"/>
      <c r="Z71" s="7"/>
    </row>
    <row r="72" spans="1:28" x14ac:dyDescent="0.15">
      <c r="A72" s="82"/>
      <c r="B72" s="162"/>
      <c r="C72" s="172"/>
      <c r="D72" s="173"/>
      <c r="E72" s="165"/>
      <c r="F72" s="165"/>
      <c r="G72" s="191"/>
      <c r="H72" s="169"/>
      <c r="I72" s="89"/>
      <c r="J72" s="83"/>
      <c r="K72" s="144"/>
      <c r="L72" s="169"/>
      <c r="M72" s="145"/>
      <c r="N72" s="170"/>
      <c r="O72" s="107"/>
      <c r="P72" s="95"/>
      <c r="Q72" s="171"/>
      <c r="R72" s="96"/>
      <c r="S72" s="95"/>
      <c r="T72" s="171"/>
      <c r="U72" s="96"/>
      <c r="Z72" s="7"/>
    </row>
    <row r="73" spans="1:28" x14ac:dyDescent="0.15">
      <c r="A73" s="82"/>
      <c r="B73" s="162"/>
      <c r="C73" s="172"/>
      <c r="D73" s="173"/>
      <c r="E73" s="165"/>
      <c r="F73" s="165"/>
      <c r="G73" s="167"/>
      <c r="H73" s="169"/>
      <c r="I73" s="89"/>
      <c r="J73" s="83"/>
      <c r="K73" s="144"/>
      <c r="L73" s="169"/>
      <c r="M73" s="145"/>
      <c r="N73" s="170"/>
      <c r="O73" s="107"/>
      <c r="P73" s="95"/>
      <c r="Q73" s="171"/>
      <c r="R73" s="96"/>
      <c r="S73" s="95"/>
      <c r="T73" s="171"/>
      <c r="U73" s="96"/>
      <c r="Z73" s="7"/>
    </row>
    <row r="74" spans="1:28" x14ac:dyDescent="0.15">
      <c r="A74" s="82"/>
      <c r="B74" s="162"/>
      <c r="C74" s="172"/>
      <c r="D74" s="173"/>
      <c r="E74" s="165"/>
      <c r="F74" s="165"/>
      <c r="G74" s="167"/>
      <c r="H74" s="169"/>
      <c r="I74" s="89"/>
      <c r="J74" s="83"/>
      <c r="K74" s="144"/>
      <c r="L74" s="169"/>
      <c r="M74" s="145"/>
      <c r="N74" s="170"/>
      <c r="O74" s="107"/>
      <c r="P74" s="95"/>
      <c r="Q74" s="171"/>
      <c r="R74" s="96"/>
      <c r="S74" s="95"/>
      <c r="T74" s="171"/>
      <c r="U74" s="96"/>
      <c r="Z74" s="7"/>
    </row>
    <row r="75" spans="1:28" x14ac:dyDescent="0.15">
      <c r="A75" s="82"/>
      <c r="B75" s="162"/>
      <c r="C75" s="172"/>
      <c r="D75" s="173"/>
      <c r="E75" s="165"/>
      <c r="F75" s="165"/>
      <c r="G75" s="167"/>
      <c r="H75" s="169"/>
      <c r="I75" s="89"/>
      <c r="J75" s="83"/>
      <c r="K75" s="144"/>
      <c r="L75" s="169"/>
      <c r="M75" s="145"/>
      <c r="N75" s="170"/>
      <c r="O75" s="107"/>
      <c r="P75" s="95"/>
      <c r="Q75" s="171"/>
      <c r="R75" s="96"/>
      <c r="S75" s="95"/>
      <c r="T75" s="171"/>
      <c r="U75" s="96"/>
      <c r="Z75" s="32"/>
    </row>
    <row r="76" spans="1:28" x14ac:dyDescent="0.15">
      <c r="A76" s="82"/>
      <c r="B76" s="162"/>
      <c r="C76" s="197"/>
      <c r="D76" s="173"/>
      <c r="E76" s="165"/>
      <c r="F76" s="165"/>
      <c r="G76" s="167"/>
      <c r="H76" s="169"/>
      <c r="I76" s="89"/>
      <c r="J76" s="83"/>
      <c r="K76" s="144"/>
      <c r="L76" s="169"/>
      <c r="M76" s="145"/>
      <c r="N76" s="170"/>
      <c r="O76" s="107"/>
      <c r="P76" s="95"/>
      <c r="Q76" s="171"/>
      <c r="R76" s="96"/>
      <c r="S76" s="95"/>
      <c r="T76" s="171"/>
      <c r="U76" s="96"/>
      <c r="Z76" s="32"/>
    </row>
    <row r="77" spans="1:28" x14ac:dyDescent="0.15">
      <c r="A77" s="82"/>
      <c r="B77" s="162"/>
      <c r="C77" s="197"/>
      <c r="D77" s="173"/>
      <c r="E77" s="165"/>
      <c r="F77" s="165"/>
      <c r="G77" s="191"/>
      <c r="H77" s="169"/>
      <c r="I77" s="89"/>
      <c r="J77" s="83"/>
      <c r="K77" s="144"/>
      <c r="L77" s="169"/>
      <c r="M77" s="145"/>
      <c r="N77" s="170"/>
      <c r="O77" s="107"/>
      <c r="P77" s="95"/>
      <c r="Q77" s="171"/>
      <c r="R77" s="96"/>
      <c r="S77" s="95"/>
      <c r="T77" s="171"/>
      <c r="U77" s="96"/>
      <c r="Z77" s="32"/>
    </row>
    <row r="78" spans="1:28" x14ac:dyDescent="0.15">
      <c r="A78" s="82"/>
      <c r="B78" s="162"/>
      <c r="C78" s="197"/>
      <c r="D78" s="173"/>
      <c r="E78" s="165"/>
      <c r="F78" s="165"/>
      <c r="G78" s="167"/>
      <c r="H78" s="169"/>
      <c r="I78" s="89"/>
      <c r="J78" s="83"/>
      <c r="K78" s="144"/>
      <c r="L78" s="169"/>
      <c r="M78" s="145"/>
      <c r="N78" s="170"/>
      <c r="O78" s="107"/>
      <c r="P78" s="95"/>
      <c r="Q78" s="171"/>
      <c r="R78" s="96"/>
      <c r="S78" s="95"/>
      <c r="T78" s="171"/>
      <c r="U78" s="96"/>
      <c r="Z78" s="32"/>
    </row>
    <row r="79" spans="1:28" x14ac:dyDescent="0.15">
      <c r="A79" s="82"/>
      <c r="B79" s="162"/>
      <c r="C79" s="197"/>
      <c r="D79" s="173"/>
      <c r="E79" s="165"/>
      <c r="F79" s="165"/>
      <c r="G79" s="167"/>
      <c r="H79" s="169"/>
      <c r="I79" s="89"/>
      <c r="J79" s="83"/>
      <c r="K79" s="144"/>
      <c r="L79" s="169"/>
      <c r="M79" s="145"/>
      <c r="N79" s="170"/>
      <c r="O79" s="107"/>
      <c r="P79" s="95"/>
      <c r="Q79" s="171"/>
      <c r="R79" s="96"/>
      <c r="S79" s="95"/>
      <c r="T79" s="171"/>
      <c r="U79" s="96"/>
    </row>
    <row r="80" spans="1:28" x14ac:dyDescent="0.15">
      <c r="A80" s="82"/>
      <c r="B80" s="162"/>
      <c r="C80" s="197"/>
      <c r="D80" s="173"/>
      <c r="E80" s="165"/>
      <c r="F80" s="165"/>
      <c r="G80" s="167"/>
      <c r="H80" s="169"/>
      <c r="I80" s="89"/>
      <c r="J80" s="83"/>
      <c r="K80" s="144"/>
      <c r="L80" s="169"/>
      <c r="M80" s="145"/>
      <c r="N80" s="170"/>
      <c r="O80" s="107"/>
      <c r="P80" s="95"/>
      <c r="Q80" s="171"/>
      <c r="R80" s="96"/>
      <c r="S80" s="95"/>
      <c r="T80" s="171"/>
      <c r="U80" s="96"/>
    </row>
    <row r="81" spans="1:21" x14ac:dyDescent="0.15">
      <c r="A81" s="82"/>
      <c r="B81" s="162"/>
      <c r="C81" s="197"/>
      <c r="D81" s="173"/>
      <c r="E81" s="165"/>
      <c r="F81" s="165"/>
      <c r="G81" s="167"/>
      <c r="H81" s="169"/>
      <c r="I81" s="89"/>
      <c r="J81" s="83"/>
      <c r="K81" s="144"/>
      <c r="L81" s="169"/>
      <c r="M81" s="145"/>
      <c r="N81" s="170"/>
      <c r="O81" s="107"/>
      <c r="P81" s="95"/>
      <c r="Q81" s="171"/>
      <c r="R81" s="96"/>
      <c r="S81" s="95"/>
      <c r="T81" s="171"/>
      <c r="U81" s="96"/>
    </row>
    <row r="82" spans="1:21" x14ac:dyDescent="0.15">
      <c r="A82" s="82"/>
      <c r="B82" s="162"/>
      <c r="C82" s="197"/>
      <c r="D82" s="173"/>
      <c r="E82" s="165"/>
      <c r="F82" s="165"/>
      <c r="G82" s="167"/>
      <c r="H82" s="169"/>
      <c r="I82" s="89"/>
      <c r="J82" s="83"/>
      <c r="K82" s="144"/>
      <c r="L82" s="169"/>
      <c r="M82" s="145"/>
      <c r="N82" s="170"/>
      <c r="O82" s="107"/>
      <c r="P82" s="95"/>
      <c r="Q82" s="171"/>
      <c r="R82" s="96"/>
      <c r="S82" s="95"/>
      <c r="T82" s="171"/>
      <c r="U82" s="96"/>
    </row>
    <row r="83" spans="1:21" x14ac:dyDescent="0.15">
      <c r="A83" s="82"/>
      <c r="B83" s="162"/>
      <c r="C83" s="197"/>
      <c r="D83" s="173"/>
      <c r="E83" s="165"/>
      <c r="F83" s="165"/>
      <c r="G83" s="167"/>
      <c r="H83" s="169"/>
      <c r="I83" s="89"/>
      <c r="J83" s="83"/>
      <c r="K83" s="144"/>
      <c r="L83" s="169"/>
      <c r="M83" s="145"/>
      <c r="N83" s="170"/>
      <c r="O83" s="107"/>
      <c r="P83" s="95"/>
      <c r="Q83" s="171"/>
      <c r="R83" s="96"/>
      <c r="S83" s="95"/>
      <c r="T83" s="171"/>
      <c r="U83" s="96"/>
    </row>
    <row r="84" spans="1:21" x14ac:dyDescent="0.15">
      <c r="A84" s="82"/>
      <c r="B84" s="162"/>
      <c r="C84" s="197"/>
      <c r="D84" s="173"/>
      <c r="E84" s="165"/>
      <c r="F84" s="165"/>
      <c r="G84" s="167"/>
      <c r="H84" s="169"/>
      <c r="I84" s="89"/>
      <c r="J84" s="83"/>
      <c r="K84" s="144"/>
      <c r="L84" s="169"/>
      <c r="M84" s="145"/>
      <c r="N84" s="170"/>
      <c r="O84" s="107"/>
      <c r="P84" s="95"/>
      <c r="Q84" s="171"/>
      <c r="R84" s="96"/>
      <c r="S84" s="95"/>
      <c r="T84" s="171"/>
      <c r="U84" s="96"/>
    </row>
    <row r="85" spans="1:21" x14ac:dyDescent="0.15">
      <c r="A85" s="82"/>
      <c r="B85" s="162"/>
      <c r="C85" s="197"/>
      <c r="D85" s="173"/>
      <c r="E85" s="165"/>
      <c r="F85" s="165"/>
      <c r="G85" s="167"/>
      <c r="H85" s="169"/>
      <c r="I85" s="89"/>
      <c r="J85" s="83"/>
      <c r="K85" s="144"/>
      <c r="L85" s="169"/>
      <c r="M85" s="145"/>
      <c r="N85" s="170"/>
      <c r="O85" s="107"/>
      <c r="P85" s="95"/>
      <c r="Q85" s="171"/>
      <c r="R85" s="96"/>
      <c r="S85" s="95"/>
      <c r="T85" s="171"/>
      <c r="U85" s="96"/>
    </row>
    <row r="86" spans="1:21" x14ac:dyDescent="0.15">
      <c r="A86" s="82"/>
      <c r="B86" s="162"/>
      <c r="C86" s="197"/>
      <c r="D86" s="173"/>
      <c r="E86" s="165"/>
      <c r="F86" s="165"/>
      <c r="G86" s="167"/>
      <c r="H86" s="169"/>
      <c r="I86" s="89"/>
      <c r="J86" s="83"/>
      <c r="K86" s="144"/>
      <c r="L86" s="169"/>
      <c r="M86" s="145"/>
      <c r="N86" s="170"/>
      <c r="O86" s="107"/>
      <c r="P86" s="95"/>
      <c r="Q86" s="171"/>
      <c r="R86" s="96"/>
      <c r="S86" s="95"/>
      <c r="T86" s="171"/>
      <c r="U86" s="96"/>
    </row>
    <row r="87" spans="1:21" x14ac:dyDescent="0.15">
      <c r="A87" s="82"/>
      <c r="B87" s="162"/>
      <c r="C87" s="197"/>
      <c r="D87" s="173"/>
      <c r="E87" s="165"/>
      <c r="F87" s="165"/>
      <c r="G87" s="167"/>
      <c r="H87" s="169"/>
      <c r="I87" s="89"/>
      <c r="J87" s="83"/>
      <c r="K87" s="144"/>
      <c r="L87" s="169"/>
      <c r="M87" s="145"/>
      <c r="N87" s="170"/>
      <c r="O87" s="107"/>
      <c r="P87" s="95"/>
      <c r="Q87" s="171"/>
      <c r="R87" s="96"/>
      <c r="S87" s="95"/>
      <c r="T87" s="171"/>
      <c r="U87" s="96"/>
    </row>
    <row r="88" spans="1:21" x14ac:dyDescent="0.15">
      <c r="A88" s="82"/>
      <c r="B88" s="162"/>
      <c r="C88" s="197"/>
      <c r="D88" s="173"/>
      <c r="E88" s="165"/>
      <c r="F88" s="165"/>
      <c r="G88" s="167"/>
      <c r="H88" s="169"/>
      <c r="I88" s="89"/>
      <c r="J88" s="83"/>
      <c r="K88" s="144"/>
      <c r="L88" s="169"/>
      <c r="M88" s="145"/>
      <c r="N88" s="170"/>
      <c r="O88" s="107"/>
      <c r="P88" s="95"/>
      <c r="Q88" s="171"/>
      <c r="R88" s="96"/>
      <c r="S88" s="95"/>
      <c r="T88" s="171"/>
      <c r="U88" s="96"/>
    </row>
    <row r="89" spans="1:21" x14ac:dyDescent="0.15">
      <c r="A89" s="82"/>
      <c r="B89" s="162"/>
      <c r="C89" s="197"/>
      <c r="D89" s="173"/>
      <c r="E89" s="165"/>
      <c r="F89" s="165"/>
      <c r="G89" s="167"/>
      <c r="H89" s="169"/>
      <c r="I89" s="89"/>
      <c r="J89" s="83"/>
      <c r="K89" s="144"/>
      <c r="L89" s="169"/>
      <c r="M89" s="145"/>
      <c r="N89" s="170"/>
      <c r="O89" s="107"/>
      <c r="P89" s="95"/>
      <c r="Q89" s="171"/>
      <c r="R89" s="96"/>
      <c r="S89" s="95"/>
      <c r="T89" s="171"/>
      <c r="U89" s="96"/>
    </row>
    <row r="90" spans="1:21" x14ac:dyDescent="0.15">
      <c r="A90" s="82"/>
      <c r="B90" s="162"/>
      <c r="C90" s="197"/>
      <c r="D90" s="173"/>
      <c r="E90" s="165"/>
      <c r="F90" s="165"/>
      <c r="G90" s="167"/>
      <c r="H90" s="169"/>
      <c r="I90" s="89"/>
      <c r="J90" s="83"/>
      <c r="K90" s="144"/>
      <c r="L90" s="169"/>
      <c r="M90" s="145"/>
      <c r="N90" s="170"/>
      <c r="O90" s="107"/>
      <c r="P90" s="95"/>
      <c r="Q90" s="171"/>
      <c r="R90" s="96"/>
      <c r="S90" s="95"/>
      <c r="T90" s="171"/>
      <c r="U90" s="96"/>
    </row>
    <row r="91" spans="1:21" x14ac:dyDescent="0.15">
      <c r="A91" s="82"/>
      <c r="B91" s="162"/>
      <c r="C91" s="197"/>
      <c r="D91" s="173"/>
      <c r="E91" s="165"/>
      <c r="F91" s="165"/>
      <c r="G91" s="167"/>
      <c r="H91" s="169"/>
      <c r="I91" s="89"/>
      <c r="J91" s="83"/>
      <c r="K91" s="144"/>
      <c r="L91" s="169"/>
      <c r="M91" s="145"/>
      <c r="N91" s="170"/>
      <c r="O91" s="107"/>
      <c r="P91" s="95"/>
      <c r="Q91" s="171"/>
      <c r="R91" s="96"/>
      <c r="S91" s="95"/>
      <c r="T91" s="171"/>
      <c r="U91" s="96"/>
    </row>
    <row r="92" spans="1:21" x14ac:dyDescent="0.15">
      <c r="A92" s="82"/>
      <c r="B92" s="162"/>
      <c r="C92" s="197"/>
      <c r="D92" s="173"/>
      <c r="E92" s="165"/>
      <c r="F92" s="165"/>
      <c r="G92" s="167"/>
      <c r="H92" s="169"/>
      <c r="I92" s="89"/>
      <c r="J92" s="83"/>
      <c r="K92" s="144"/>
      <c r="L92" s="169"/>
      <c r="M92" s="145"/>
      <c r="N92" s="170"/>
      <c r="O92" s="107"/>
      <c r="P92" s="95"/>
      <c r="Q92" s="171"/>
      <c r="R92" s="96"/>
      <c r="S92" s="95"/>
      <c r="T92" s="171"/>
      <c r="U92" s="96"/>
    </row>
    <row r="93" spans="1:21" x14ac:dyDescent="0.15">
      <c r="A93" s="82"/>
      <c r="B93" s="162"/>
      <c r="C93" s="197"/>
      <c r="D93" s="173"/>
      <c r="E93" s="165"/>
      <c r="F93" s="165"/>
      <c r="G93" s="167"/>
      <c r="H93" s="169"/>
      <c r="I93" s="89"/>
      <c r="J93" s="83"/>
      <c r="K93" s="144"/>
      <c r="L93" s="169"/>
      <c r="M93" s="145"/>
      <c r="N93" s="170"/>
      <c r="O93" s="107"/>
      <c r="P93" s="95"/>
      <c r="Q93" s="171"/>
      <c r="R93" s="96"/>
      <c r="S93" s="95"/>
      <c r="T93" s="171"/>
      <c r="U93" s="96"/>
    </row>
    <row r="94" spans="1:21" x14ac:dyDescent="0.15">
      <c r="A94" s="82"/>
      <c r="B94" s="162"/>
      <c r="C94" s="197"/>
      <c r="D94" s="173"/>
      <c r="E94" s="165"/>
      <c r="F94" s="165"/>
      <c r="G94" s="167"/>
      <c r="H94" s="169"/>
      <c r="I94" s="89"/>
      <c r="J94" s="83"/>
      <c r="K94" s="144"/>
      <c r="L94" s="169"/>
      <c r="M94" s="145"/>
      <c r="N94" s="170"/>
      <c r="O94" s="107"/>
      <c r="P94" s="95"/>
      <c r="Q94" s="171"/>
      <c r="R94" s="96"/>
      <c r="S94" s="95"/>
      <c r="T94" s="171"/>
      <c r="U94" s="96"/>
    </row>
    <row r="95" spans="1:21" x14ac:dyDescent="0.15">
      <c r="A95" s="82"/>
      <c r="B95" s="162"/>
      <c r="C95" s="197"/>
      <c r="D95" s="173"/>
      <c r="E95" s="165"/>
      <c r="F95" s="165"/>
      <c r="G95" s="167"/>
      <c r="H95" s="169"/>
      <c r="I95" s="89"/>
      <c r="J95" s="83"/>
      <c r="K95" s="144"/>
      <c r="L95" s="169"/>
      <c r="M95" s="145"/>
      <c r="N95" s="170"/>
      <c r="O95" s="107"/>
      <c r="P95" s="95"/>
      <c r="Q95" s="171"/>
      <c r="R95" s="96"/>
      <c r="S95" s="95"/>
      <c r="T95" s="171"/>
      <c r="U95" s="96"/>
    </row>
    <row r="96" spans="1:21" x14ac:dyDescent="0.15">
      <c r="A96" s="82"/>
      <c r="B96" s="162"/>
      <c r="C96" s="197"/>
      <c r="D96" s="173"/>
      <c r="E96" s="165"/>
      <c r="F96" s="165"/>
      <c r="G96" s="167"/>
      <c r="H96" s="169"/>
      <c r="I96" s="89"/>
      <c r="J96" s="83"/>
      <c r="K96" s="144"/>
      <c r="L96" s="169"/>
      <c r="M96" s="145"/>
      <c r="N96" s="170"/>
      <c r="O96" s="107"/>
      <c r="P96" s="95"/>
      <c r="Q96" s="171"/>
      <c r="R96" s="96"/>
      <c r="S96" s="95"/>
      <c r="T96" s="171"/>
      <c r="U96" s="96"/>
    </row>
    <row r="97" spans="1:24" x14ac:dyDescent="0.15">
      <c r="A97" s="82"/>
      <c r="B97" s="162"/>
      <c r="C97" s="197"/>
      <c r="D97" s="173"/>
      <c r="E97" s="165"/>
      <c r="F97" s="165"/>
      <c r="G97" s="167"/>
      <c r="H97" s="169"/>
      <c r="I97" s="89"/>
      <c r="J97" s="83"/>
      <c r="K97" s="146"/>
      <c r="L97" s="169"/>
      <c r="M97" s="145"/>
      <c r="N97" s="170"/>
      <c r="O97" s="107"/>
      <c r="P97" s="95"/>
      <c r="Q97" s="171"/>
      <c r="R97" s="96"/>
      <c r="S97" s="95"/>
      <c r="T97" s="171"/>
      <c r="U97" s="96"/>
    </row>
    <row r="98" spans="1:24" x14ac:dyDescent="0.15">
      <c r="A98" s="82"/>
      <c r="B98" s="162"/>
      <c r="C98" s="197"/>
      <c r="D98" s="173"/>
      <c r="E98" s="165"/>
      <c r="F98" s="165"/>
      <c r="G98" s="167"/>
      <c r="H98" s="169"/>
      <c r="I98" s="89"/>
      <c r="J98" s="83"/>
      <c r="K98" s="146"/>
      <c r="L98" s="169"/>
      <c r="M98" s="145"/>
      <c r="N98" s="170"/>
      <c r="O98" s="107"/>
      <c r="P98" s="95"/>
      <c r="Q98" s="171"/>
      <c r="R98" s="96"/>
      <c r="S98" s="95"/>
      <c r="T98" s="171"/>
      <c r="U98" s="96"/>
    </row>
    <row r="99" spans="1:24" x14ac:dyDescent="0.15">
      <c r="A99" s="82"/>
      <c r="B99" s="162"/>
      <c r="C99" s="197"/>
      <c r="D99" s="173"/>
      <c r="E99" s="165"/>
      <c r="F99" s="165"/>
      <c r="G99" s="167"/>
      <c r="H99" s="169"/>
      <c r="I99" s="89"/>
      <c r="J99" s="83"/>
      <c r="K99" s="146"/>
      <c r="L99" s="169"/>
      <c r="M99" s="145"/>
      <c r="N99" s="170"/>
      <c r="O99" s="107"/>
      <c r="P99" s="95"/>
      <c r="Q99" s="171"/>
      <c r="R99" s="96"/>
      <c r="S99" s="95"/>
      <c r="T99" s="171"/>
      <c r="U99" s="96"/>
    </row>
    <row r="100" spans="1:24" x14ac:dyDescent="0.15">
      <c r="A100" s="84"/>
      <c r="B100" s="198"/>
      <c r="C100" s="199"/>
      <c r="D100" s="200"/>
      <c r="E100" s="201"/>
      <c r="F100" s="201"/>
      <c r="G100" s="202"/>
      <c r="H100" s="203"/>
      <c r="I100" s="90"/>
      <c r="J100" s="85"/>
      <c r="K100" s="147"/>
      <c r="L100" s="203"/>
      <c r="M100" s="148"/>
      <c r="N100" s="204"/>
      <c r="O100" s="109"/>
      <c r="P100" s="97"/>
      <c r="Q100" s="205"/>
      <c r="R100" s="98"/>
      <c r="S100" s="97"/>
      <c r="T100" s="205"/>
      <c r="U100" s="98"/>
    </row>
    <row r="101" spans="1:24" x14ac:dyDescent="0.15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54"/>
      <c r="W101" s="54"/>
      <c r="X101" s="54"/>
    </row>
    <row r="102" spans="1:24" x14ac:dyDescent="0.15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54"/>
      <c r="W102" s="54"/>
      <c r="X102" s="54"/>
    </row>
    <row r="103" spans="1:24" x14ac:dyDescent="0.15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54"/>
      <c r="W103" s="54"/>
      <c r="X103" s="54"/>
    </row>
    <row r="104" spans="1:24" x14ac:dyDescent="0.15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54"/>
      <c r="W104" s="54"/>
      <c r="X104" s="54"/>
    </row>
    <row r="105" spans="1:24" x14ac:dyDescent="0.15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54"/>
      <c r="W105" s="54"/>
      <c r="X105" s="54"/>
    </row>
    <row r="106" spans="1:24" x14ac:dyDescent="0.15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54"/>
      <c r="W106" s="54"/>
      <c r="X106" s="54"/>
    </row>
    <row r="107" spans="1:24" x14ac:dyDescent="0.15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54"/>
      <c r="W107" s="54"/>
      <c r="X107" s="54"/>
    </row>
    <row r="108" spans="1:24" x14ac:dyDescent="0.15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54"/>
      <c r="W108" s="54"/>
      <c r="X108" s="54"/>
    </row>
    <row r="109" spans="1:24" x14ac:dyDescent="0.15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54"/>
      <c r="W109" s="54"/>
      <c r="X109" s="54"/>
    </row>
    <row r="110" spans="1:24" x14ac:dyDescent="0.15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54"/>
      <c r="W110" s="54"/>
      <c r="X110" s="54"/>
    </row>
  </sheetData>
  <mergeCells count="12">
    <mergeCell ref="T4:U4"/>
    <mergeCell ref="A5:A6"/>
    <mergeCell ref="B5:B6"/>
    <mergeCell ref="C5:C6"/>
    <mergeCell ref="D5:D6"/>
    <mergeCell ref="L5:L6"/>
    <mergeCell ref="M5:M6"/>
    <mergeCell ref="F5:F6"/>
    <mergeCell ref="E5:E6"/>
    <mergeCell ref="G5:G6"/>
    <mergeCell ref="H5:H6"/>
    <mergeCell ref="I5:K6"/>
  </mergeCells>
  <phoneticPr fontId="2"/>
  <pageMargins left="0.78740157480314965" right="0.78740157480314965" top="0.98425196850393704" bottom="0.98425196850393704" header="0.51181102362204722" footer="0.51181102362204722"/>
  <pageSetup paperSize="12" scale="8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BMN_SET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85725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First">
                <anchor>
                  <from>
                    <xdr:col>13</xdr:col>
                    <xdr:colOff>85725</xdr:colOff>
                    <xdr:row>1</xdr:row>
                    <xdr:rowOff>9525</xdr:rowOff>
                  </from>
                  <to>
                    <xdr:col>14</xdr:col>
                    <xdr:colOff>390525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 macro="[0]!Get_Data">
                <anchor mov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7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p_Data">
                <anchor>
                  <from>
                    <xdr:col>2</xdr:col>
                    <xdr:colOff>238125</xdr:colOff>
                    <xdr:row>1</xdr:row>
                    <xdr:rowOff>0</xdr:rowOff>
                  </from>
                  <to>
                    <xdr:col>2</xdr:col>
                    <xdr:colOff>1047750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t_Data">
                <anchor>
                  <from>
                    <xdr:col>2</xdr:col>
                    <xdr:colOff>1257300</xdr:colOff>
                    <xdr:row>1</xdr:row>
                    <xdr:rowOff>0</xdr:rowOff>
                  </from>
                  <to>
                    <xdr:col>4</xdr:col>
                    <xdr:colOff>333375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Prn_Canon">
                <anchor>
                  <from>
                    <xdr:col>8</xdr:col>
                    <xdr:colOff>9525</xdr:colOff>
                    <xdr:row>1</xdr:row>
                    <xdr:rowOff>9525</xdr:rowOff>
                  </from>
                  <to>
                    <xdr:col>10</xdr:col>
                    <xdr:colOff>295275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Back_Main">
                <anchor>
                  <from>
                    <xdr:col>12</xdr:col>
                    <xdr:colOff>57150</xdr:colOff>
                    <xdr:row>1</xdr:row>
                    <xdr:rowOff>9525</xdr:rowOff>
                  </from>
                  <to>
                    <xdr:col>13</xdr:col>
                    <xdr:colOff>19050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AP_END">
                <anchor>
                  <from>
                    <xdr:col>16</xdr:col>
                    <xdr:colOff>161925</xdr:colOff>
                    <xdr:row>1</xdr:row>
                    <xdr:rowOff>9525</xdr:rowOff>
                  </from>
                  <to>
                    <xdr:col>17</xdr:col>
                    <xdr:colOff>161925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個別印刷">
                <anchor>
                  <from>
                    <xdr:col>15</xdr:col>
                    <xdr:colOff>85725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Prn_PDF">
                <anchor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819150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C29E-E746-4FF6-BD5A-262D91E60B77}">
  <sheetPr codeName="Sheet8">
    <tabColor indexed="48"/>
    <pageSetUpPr autoPageBreaks="0"/>
  </sheetPr>
  <dimension ref="A1:AI110"/>
  <sheetViews>
    <sheetView showGridLines="0" showRowColHeaders="0" topLeftCell="A37" zoomScaleNormal="100" workbookViewId="0">
      <selection activeCell="B14" sqref="B14"/>
    </sheetView>
  </sheetViews>
  <sheetFormatPr defaultRowHeight="13.5" x14ac:dyDescent="0.15"/>
  <cols>
    <col min="1" max="1" width="9.625" customWidth="1"/>
    <col min="2" max="2" width="8.625" customWidth="1"/>
    <col min="3" max="3" width="17.125" customWidth="1"/>
    <col min="4" max="4" width="5.625" customWidth="1"/>
    <col min="5" max="6" width="11.125" customWidth="1"/>
    <col min="7" max="7" width="8.125" customWidth="1"/>
    <col min="8" max="8" width="11.125" customWidth="1"/>
    <col min="9" max="9" width="4.625" customWidth="1"/>
    <col min="10" max="10" width="2.25" customWidth="1"/>
    <col min="11" max="11" width="4.625" customWidth="1"/>
    <col min="12" max="13" width="11.125" customWidth="1"/>
    <col min="14" max="15" width="6.625" customWidth="1"/>
    <col min="16" max="17" width="10.625" customWidth="1"/>
    <col min="18" max="18" width="6.625" customWidth="1"/>
    <col min="19" max="20" width="10.625" customWidth="1"/>
    <col min="21" max="21" width="6.625" customWidth="1"/>
    <col min="22" max="23" width="3.5" style="7" bestFit="1" customWidth="1"/>
    <col min="24" max="24" width="13" style="7" bestFit="1" customWidth="1"/>
    <col min="25" max="25" width="2.625" style="7" bestFit="1" customWidth="1"/>
    <col min="26" max="26" width="2.625" bestFit="1" customWidth="1"/>
    <col min="31" max="31" width="4" bestFit="1" customWidth="1"/>
    <col min="32" max="32" width="5.25" bestFit="1" customWidth="1"/>
    <col min="34" max="34" width="5.875" bestFit="1" customWidth="1"/>
    <col min="35" max="35" width="11.375" bestFit="1" customWidth="1"/>
  </cols>
  <sheetData>
    <row r="1" spans="1:35" x14ac:dyDescent="0.15">
      <c r="AD1" s="3">
        <v>2</v>
      </c>
      <c r="AE1" s="3" t="str">
        <f>VLOOKUP(AD1,AD2:AF8,2,FALSE)</f>
        <v>RT</v>
      </c>
      <c r="AF1" s="3" t="str">
        <f>VLOOKUP(AD1,AD2:AF8,3,FALSE)</f>
        <v>東京</v>
      </c>
      <c r="AG1" s="3">
        <v>0</v>
      </c>
      <c r="AH1" s="8" t="e">
        <f>VLOOKUP(AG1,AG2:AI22,2,FALSE)</f>
        <v>#N/A</v>
      </c>
      <c r="AI1" s="3" t="e">
        <f>VLOOKUP(AG1,AG2:AI22,3,FALSE)</f>
        <v>#N/A</v>
      </c>
    </row>
    <row r="2" spans="1:35" ht="15" customHeight="1" x14ac:dyDescent="0.15">
      <c r="A2" s="138" t="s">
        <v>0</v>
      </c>
      <c r="B2" s="23"/>
      <c r="F2" s="138" t="s">
        <v>94</v>
      </c>
      <c r="AD2" s="3">
        <v>1</v>
      </c>
      <c r="AE2" s="3" t="s">
        <v>29</v>
      </c>
      <c r="AF2" s="24" t="s">
        <v>12</v>
      </c>
      <c r="AG2" s="3">
        <v>1</v>
      </c>
      <c r="AH2" s="8" t="s">
        <v>222</v>
      </c>
      <c r="AI2" s="3" t="s">
        <v>223</v>
      </c>
    </row>
    <row r="3" spans="1:35" ht="15" customHeight="1" x14ac:dyDescent="0.15">
      <c r="A3" s="26"/>
      <c r="B3" s="23"/>
      <c r="F3" s="26"/>
      <c r="AD3" s="3">
        <v>2</v>
      </c>
      <c r="AE3" s="3" t="s">
        <v>30</v>
      </c>
      <c r="AF3" s="24" t="s">
        <v>13</v>
      </c>
      <c r="AG3" s="3">
        <v>2</v>
      </c>
      <c r="AH3" s="8" t="s">
        <v>224</v>
      </c>
      <c r="AI3" s="3" t="s">
        <v>225</v>
      </c>
    </row>
    <row r="4" spans="1:35" ht="22.5" customHeight="1" x14ac:dyDescent="0.15">
      <c r="A4" s="30" t="s">
        <v>229</v>
      </c>
      <c r="E4" s="27" t="s">
        <v>220</v>
      </c>
      <c r="G4" s="27" t="s">
        <v>97</v>
      </c>
      <c r="L4" s="29"/>
      <c r="M4" s="29"/>
      <c r="N4" s="28"/>
      <c r="O4" s="28"/>
      <c r="P4" s="28"/>
      <c r="Q4" s="28"/>
      <c r="R4" s="28"/>
      <c r="S4" s="28"/>
      <c r="T4" s="217">
        <f ca="1">NOW()</f>
        <v>44728.660732291668</v>
      </c>
      <c r="U4" s="217"/>
      <c r="AD4" s="3">
        <v>3</v>
      </c>
      <c r="AE4" s="3" t="s">
        <v>28</v>
      </c>
      <c r="AF4" s="24" t="s">
        <v>14</v>
      </c>
      <c r="AG4" s="3">
        <v>3</v>
      </c>
      <c r="AH4" s="8" t="s">
        <v>226</v>
      </c>
      <c r="AI4" s="3" t="s">
        <v>227</v>
      </c>
    </row>
    <row r="5" spans="1:35" x14ac:dyDescent="0.15">
      <c r="A5" s="218" t="s">
        <v>5</v>
      </c>
      <c r="B5" s="220" t="s">
        <v>1</v>
      </c>
      <c r="C5" s="220" t="s">
        <v>2</v>
      </c>
      <c r="D5" s="220" t="s">
        <v>3</v>
      </c>
      <c r="E5" s="222" t="s">
        <v>4</v>
      </c>
      <c r="F5" s="220" t="s">
        <v>6</v>
      </c>
      <c r="G5" s="223" t="s">
        <v>7</v>
      </c>
      <c r="H5" s="222" t="s">
        <v>8</v>
      </c>
      <c r="I5" s="224" t="s">
        <v>9</v>
      </c>
      <c r="J5" s="224"/>
      <c r="K5" s="224"/>
      <c r="L5" s="222" t="s">
        <v>10</v>
      </c>
      <c r="M5" s="222" t="s">
        <v>11</v>
      </c>
      <c r="N5" s="214"/>
      <c r="O5" s="133"/>
      <c r="P5" s="212"/>
      <c r="Q5" s="214"/>
      <c r="R5" s="133"/>
      <c r="S5" s="212"/>
      <c r="T5" s="214"/>
      <c r="U5" s="133"/>
      <c r="AD5" s="3">
        <v>4</v>
      </c>
      <c r="AE5" s="3" t="s">
        <v>32</v>
      </c>
      <c r="AF5" s="24" t="s">
        <v>15</v>
      </c>
      <c r="AG5" s="3">
        <v>4</v>
      </c>
      <c r="AH5" s="8" t="s">
        <v>228</v>
      </c>
      <c r="AI5" s="3"/>
    </row>
    <row r="6" spans="1:35" x14ac:dyDescent="0.15">
      <c r="A6" s="219"/>
      <c r="B6" s="221"/>
      <c r="C6" s="221"/>
      <c r="D6" s="221"/>
      <c r="E6" s="222"/>
      <c r="F6" s="221"/>
      <c r="G6" s="223"/>
      <c r="H6" s="222"/>
      <c r="I6" s="225"/>
      <c r="J6" s="225"/>
      <c r="K6" s="225"/>
      <c r="L6" s="222"/>
      <c r="M6" s="222"/>
      <c r="N6" s="215" t="s">
        <v>99</v>
      </c>
      <c r="O6" s="136" t="s">
        <v>153</v>
      </c>
      <c r="P6" s="213" t="s">
        <v>152</v>
      </c>
      <c r="Q6" s="215" t="s">
        <v>101</v>
      </c>
      <c r="R6" s="136" t="s">
        <v>99</v>
      </c>
      <c r="S6" s="213" t="s">
        <v>100</v>
      </c>
      <c r="T6" s="215" t="s">
        <v>101</v>
      </c>
      <c r="U6" s="136" t="s">
        <v>99</v>
      </c>
      <c r="AD6" s="3">
        <v>5</v>
      </c>
      <c r="AE6" s="3" t="s">
        <v>33</v>
      </c>
      <c r="AF6" s="24" t="s">
        <v>16</v>
      </c>
      <c r="AG6" s="3">
        <v>5</v>
      </c>
      <c r="AH6" s="8"/>
      <c r="AI6" s="3"/>
    </row>
    <row r="7" spans="1:35" x14ac:dyDescent="0.15">
      <c r="A7" s="80"/>
      <c r="B7" s="153"/>
      <c r="C7" s="154"/>
      <c r="D7" s="155"/>
      <c r="E7" s="156"/>
      <c r="F7" s="156"/>
      <c r="G7" s="157"/>
      <c r="H7" s="158"/>
      <c r="I7" s="88"/>
      <c r="J7" s="81"/>
      <c r="K7" s="142"/>
      <c r="L7" s="159"/>
      <c r="M7" s="143"/>
      <c r="N7" s="160"/>
      <c r="O7" s="106"/>
      <c r="P7" s="93"/>
      <c r="Q7" s="161"/>
      <c r="R7" s="94"/>
      <c r="S7" s="93"/>
      <c r="T7" s="161"/>
      <c r="U7" s="94"/>
      <c r="AD7" s="3">
        <v>6</v>
      </c>
      <c r="AE7" s="3" t="s">
        <v>31</v>
      </c>
      <c r="AF7" s="24" t="s">
        <v>34</v>
      </c>
      <c r="AG7" s="3">
        <v>6</v>
      </c>
      <c r="AH7" s="8"/>
      <c r="AI7" s="3"/>
    </row>
    <row r="8" spans="1:35" x14ac:dyDescent="0.15">
      <c r="A8" s="121" t="s">
        <v>182</v>
      </c>
      <c r="B8" s="162"/>
      <c r="C8" s="163"/>
      <c r="D8" s="164"/>
      <c r="E8" s="165"/>
      <c r="F8" s="166" t="s">
        <v>221</v>
      </c>
      <c r="G8" s="167"/>
      <c r="H8" s="168"/>
      <c r="I8" s="89"/>
      <c r="J8" s="83"/>
      <c r="K8" s="144"/>
      <c r="L8" s="169"/>
      <c r="M8" s="145"/>
      <c r="N8" s="170"/>
      <c r="O8" s="107"/>
      <c r="P8" s="95"/>
      <c r="Q8" s="171"/>
      <c r="R8" s="96"/>
      <c r="S8" s="95"/>
      <c r="T8" s="171"/>
      <c r="U8" s="96"/>
      <c r="AD8" s="3">
        <v>7</v>
      </c>
      <c r="AE8" s="3"/>
      <c r="AF8" s="24"/>
      <c r="AG8" s="3">
        <v>7</v>
      </c>
      <c r="AH8" s="8"/>
      <c r="AI8" s="3"/>
    </row>
    <row r="9" spans="1:35" x14ac:dyDescent="0.15">
      <c r="A9" s="82"/>
      <c r="B9" s="162"/>
      <c r="C9" s="172"/>
      <c r="D9" s="173"/>
      <c r="E9" s="165"/>
      <c r="F9" s="165"/>
      <c r="G9" s="167"/>
      <c r="H9" s="168"/>
      <c r="I9" s="89"/>
      <c r="J9" s="83"/>
      <c r="K9" s="144"/>
      <c r="L9" s="169"/>
      <c r="M9" s="145"/>
      <c r="N9" s="170"/>
      <c r="O9" s="107"/>
      <c r="P9" s="95"/>
      <c r="Q9" s="171"/>
      <c r="R9" s="96"/>
      <c r="S9" s="95"/>
      <c r="T9" s="171"/>
      <c r="U9" s="96"/>
      <c r="AG9" s="3">
        <v>8</v>
      </c>
      <c r="AH9" s="8"/>
      <c r="AI9" s="3"/>
    </row>
    <row r="10" spans="1:35" x14ac:dyDescent="0.15">
      <c r="A10" s="82" t="s">
        <v>230</v>
      </c>
      <c r="B10" s="162"/>
      <c r="C10" s="172"/>
      <c r="D10" s="173"/>
      <c r="E10" s="165"/>
      <c r="F10" s="165"/>
      <c r="G10" s="167"/>
      <c r="H10" s="168"/>
      <c r="I10" s="89"/>
      <c r="J10" s="83"/>
      <c r="K10" s="144"/>
      <c r="L10" s="169"/>
      <c r="M10" s="145"/>
      <c r="N10" s="170"/>
      <c r="O10" s="107"/>
      <c r="P10" s="95"/>
      <c r="Q10" s="171"/>
      <c r="R10" s="96"/>
      <c r="S10" s="95"/>
      <c r="T10" s="171"/>
      <c r="U10" s="96"/>
      <c r="AG10" s="3">
        <v>9</v>
      </c>
      <c r="AH10" s="8"/>
      <c r="AI10" s="3"/>
    </row>
    <row r="11" spans="1:35" x14ac:dyDescent="0.15">
      <c r="A11" s="82" t="s">
        <v>316</v>
      </c>
      <c r="B11" s="162" t="s">
        <v>231</v>
      </c>
      <c r="C11" s="172" t="s">
        <v>232</v>
      </c>
      <c r="D11" s="173" t="s">
        <v>233</v>
      </c>
      <c r="E11" s="165">
        <v>464500</v>
      </c>
      <c r="F11" s="165">
        <v>790000</v>
      </c>
      <c r="G11" s="167">
        <v>0</v>
      </c>
      <c r="H11" s="168">
        <f>ROUNDUP(((E11*G11)/100),0)*100</f>
        <v>0</v>
      </c>
      <c r="I11" s="89">
        <v>118</v>
      </c>
      <c r="J11" s="83" t="s">
        <v>183</v>
      </c>
      <c r="K11" s="144">
        <v>118</v>
      </c>
      <c r="L11" s="169">
        <f>IF(M11="","",M11-(F11+H11))</f>
        <v>0</v>
      </c>
      <c r="M11" s="145">
        <f>IF(K11=0,F11+H11,IF(K11="","",ROUNDUP((((F11+H11)*I11)/K11)/100,0)*100))</f>
        <v>790000</v>
      </c>
      <c r="N11" s="170">
        <f>IF(M11="","",M11/E11)</f>
        <v>1.7007534983853605</v>
      </c>
      <c r="O11" s="108">
        <f>IF(P11=0,0,M11/P11)</f>
        <v>0.91935296171302228</v>
      </c>
      <c r="P11" s="95">
        <v>859300</v>
      </c>
      <c r="Q11" s="171">
        <v>452100</v>
      </c>
      <c r="R11" s="96">
        <f>IF(P11=0,0,P11/Q11)</f>
        <v>1.9006856890068569</v>
      </c>
      <c r="S11" s="95">
        <v>814300</v>
      </c>
      <c r="T11" s="171">
        <v>452100</v>
      </c>
      <c r="U11" s="96">
        <f>IF(S11=0,0,S11/T11)</f>
        <v>1.801150188011502</v>
      </c>
      <c r="V11" s="7" t="s">
        <v>35</v>
      </c>
      <c r="W11" s="7" t="s">
        <v>58</v>
      </c>
      <c r="X11" s="7" t="s">
        <v>234</v>
      </c>
      <c r="Y11" s="7" t="s">
        <v>70</v>
      </c>
      <c r="Z11" s="32"/>
      <c r="AA11" s="62"/>
      <c r="AB11" s="63"/>
      <c r="AE11" s="23"/>
      <c r="AF11" s="23"/>
      <c r="AG11" s="3">
        <v>10</v>
      </c>
      <c r="AH11" s="8"/>
      <c r="AI11" s="3"/>
    </row>
    <row r="12" spans="1:35" x14ac:dyDescent="0.15">
      <c r="A12" s="82"/>
      <c r="B12" s="162" t="s">
        <v>235</v>
      </c>
      <c r="C12" s="172" t="s">
        <v>236</v>
      </c>
      <c r="D12" s="173" t="s">
        <v>211</v>
      </c>
      <c r="E12" s="165">
        <v>414900</v>
      </c>
      <c r="F12" s="165">
        <v>706000</v>
      </c>
      <c r="G12" s="167">
        <v>0</v>
      </c>
      <c r="H12" s="168">
        <f>ROUNDUP(((E12*G12)/100),0)*100</f>
        <v>0</v>
      </c>
      <c r="I12" s="89">
        <v>118</v>
      </c>
      <c r="J12" s="83" t="s">
        <v>183</v>
      </c>
      <c r="K12" s="144">
        <v>118</v>
      </c>
      <c r="L12" s="169">
        <f>IF(M12="","",M12-(F12+H12))</f>
        <v>0</v>
      </c>
      <c r="M12" s="145">
        <f>IF(K12=0,F12+H12,IF(K12="","",ROUNDUP((((F12+H12)*I12)/K12)/100,0)*100))</f>
        <v>706000</v>
      </c>
      <c r="N12" s="170">
        <f>IF(M12="","",M12/E12)</f>
        <v>1.7016148469510726</v>
      </c>
      <c r="O12" s="108">
        <f>IF(P12=0,0,M12/P12)</f>
        <v>0.95020188425302832</v>
      </c>
      <c r="P12" s="95">
        <v>743000</v>
      </c>
      <c r="Q12" s="171">
        <v>412400</v>
      </c>
      <c r="R12" s="96">
        <f>IF(P12=0,0,P12/Q12)</f>
        <v>1.8016488845780796</v>
      </c>
      <c r="S12" s="95">
        <v>702000</v>
      </c>
      <c r="T12" s="171">
        <v>412400</v>
      </c>
      <c r="U12" s="96">
        <f>IF(S12=0,0,S12/T12)</f>
        <v>1.702230843840931</v>
      </c>
      <c r="V12" s="7" t="s">
        <v>35</v>
      </c>
      <c r="W12" s="7" t="s">
        <v>58</v>
      </c>
      <c r="X12" s="7" t="s">
        <v>234</v>
      </c>
      <c r="Y12" s="7" t="s">
        <v>70</v>
      </c>
      <c r="Z12" s="32"/>
      <c r="AA12" s="62"/>
      <c r="AB12" s="63"/>
      <c r="AG12" s="3">
        <v>11</v>
      </c>
      <c r="AH12" s="8"/>
      <c r="AI12" s="3"/>
    </row>
    <row r="13" spans="1:35" x14ac:dyDescent="0.15">
      <c r="A13" s="82"/>
      <c r="B13" s="162" t="s">
        <v>237</v>
      </c>
      <c r="C13" s="172" t="s">
        <v>238</v>
      </c>
      <c r="D13" s="173" t="s">
        <v>211</v>
      </c>
      <c r="E13" s="165">
        <v>363200</v>
      </c>
      <c r="F13" s="165">
        <v>618000</v>
      </c>
      <c r="G13" s="167">
        <v>0</v>
      </c>
      <c r="H13" s="168">
        <f>ROUNDUP(((E13*G13)/100),0)*100</f>
        <v>0</v>
      </c>
      <c r="I13" s="89">
        <v>118</v>
      </c>
      <c r="J13" s="83" t="s">
        <v>183</v>
      </c>
      <c r="K13" s="144">
        <v>118</v>
      </c>
      <c r="L13" s="169">
        <f>IF(M13="","",M13-(F13+H13))</f>
        <v>0</v>
      </c>
      <c r="M13" s="145">
        <f>IF(K13=0,F13+H13,IF(K13="","",ROUNDUP((((F13+H13)*I13)/K13)/100,0)*100))</f>
        <v>618000</v>
      </c>
      <c r="N13" s="170">
        <f>IF(M13="","",M13/E13)</f>
        <v>1.7015418502202644</v>
      </c>
      <c r="O13" s="108">
        <f>IF(P13=0,0,M13/P13)</f>
        <v>0.82642417758759024</v>
      </c>
      <c r="P13" s="95">
        <v>747800</v>
      </c>
      <c r="Q13" s="171">
        <v>355700</v>
      </c>
      <c r="R13" s="96">
        <f>IF(P13=0,0,P13/Q13)</f>
        <v>2.1023334270452629</v>
      </c>
      <c r="S13" s="95">
        <v>711800</v>
      </c>
      <c r="T13" s="171">
        <v>355700</v>
      </c>
      <c r="U13" s="96">
        <f>IF(S13=0,0,S13/T13)</f>
        <v>2.0011245431543436</v>
      </c>
      <c r="V13" s="7" t="s">
        <v>35</v>
      </c>
      <c r="W13" s="7" t="s">
        <v>58</v>
      </c>
      <c r="X13" s="7" t="s">
        <v>234</v>
      </c>
      <c r="Y13" s="7" t="s">
        <v>70</v>
      </c>
      <c r="Z13" s="32"/>
      <c r="AA13" s="62"/>
      <c r="AB13" s="63"/>
      <c r="AG13" s="3">
        <v>12</v>
      </c>
      <c r="AH13" s="8"/>
      <c r="AI13" s="3"/>
    </row>
    <row r="14" spans="1:35" x14ac:dyDescent="0.15">
      <c r="A14" s="82"/>
      <c r="B14" s="162" t="s">
        <v>239</v>
      </c>
      <c r="C14" s="172" t="s">
        <v>240</v>
      </c>
      <c r="D14" s="173" t="s">
        <v>213</v>
      </c>
      <c r="E14" s="165">
        <v>257000</v>
      </c>
      <c r="F14" s="165">
        <v>437000</v>
      </c>
      <c r="G14" s="167">
        <v>-0.1</v>
      </c>
      <c r="H14" s="168">
        <f>ROUNDUP(((E14*G14)/100),0)*100</f>
        <v>-25700</v>
      </c>
      <c r="I14" s="89">
        <v>118</v>
      </c>
      <c r="J14" s="83" t="s">
        <v>183</v>
      </c>
      <c r="K14" s="144">
        <v>118</v>
      </c>
      <c r="L14" s="169">
        <f>IF(M14="","",M14-(F14+H14))</f>
        <v>0</v>
      </c>
      <c r="M14" s="145">
        <f>IF(K14=0,F14+H14,IF(K14="","",ROUNDUP((((F14+H14)*I14)/K14)/100,0)*100))</f>
        <v>411300</v>
      </c>
      <c r="N14" s="170">
        <f>IF(M14="","",M14/E14)</f>
        <v>1.6003891050583658</v>
      </c>
      <c r="O14" s="108">
        <f>IF(P14=0,0,M14/P14)</f>
        <v>0.85633978763272955</v>
      </c>
      <c r="P14" s="95">
        <v>480300</v>
      </c>
      <c r="Q14" s="171">
        <v>252300</v>
      </c>
      <c r="R14" s="96">
        <f>IF(P14=0,0,P14/Q14)</f>
        <v>1.9036860879904876</v>
      </c>
      <c r="S14" s="95">
        <v>454300</v>
      </c>
      <c r="T14" s="171">
        <v>252300</v>
      </c>
      <c r="U14" s="96">
        <f>IF(S14=0,0,S14/T14)</f>
        <v>1.8006341656757827</v>
      </c>
      <c r="V14" s="7" t="s">
        <v>35</v>
      </c>
      <c r="W14" s="7" t="s">
        <v>58</v>
      </c>
      <c r="X14" s="7" t="s">
        <v>234</v>
      </c>
      <c r="Y14" s="7" t="s">
        <v>70</v>
      </c>
      <c r="Z14" s="32"/>
      <c r="AA14" s="62"/>
      <c r="AB14" s="63"/>
      <c r="AG14" s="3">
        <v>13</v>
      </c>
      <c r="AH14" s="8"/>
      <c r="AI14" s="3"/>
    </row>
    <row r="15" spans="1:35" x14ac:dyDescent="0.15">
      <c r="A15" s="82"/>
      <c r="B15" s="162" t="s">
        <v>241</v>
      </c>
      <c r="C15" s="172" t="s">
        <v>242</v>
      </c>
      <c r="D15" s="173" t="s">
        <v>213</v>
      </c>
      <c r="E15" s="165">
        <v>220700</v>
      </c>
      <c r="F15" s="165">
        <v>376000</v>
      </c>
      <c r="G15" s="167">
        <v>-0.1</v>
      </c>
      <c r="H15" s="168">
        <f>ROUNDUP(((E15*G15)/100),0)*100</f>
        <v>-22100</v>
      </c>
      <c r="I15" s="89">
        <v>118</v>
      </c>
      <c r="J15" s="83" t="s">
        <v>183</v>
      </c>
      <c r="K15" s="144">
        <v>118</v>
      </c>
      <c r="L15" s="169">
        <f>IF(M15="","",M15-(F15+H15))</f>
        <v>0</v>
      </c>
      <c r="M15" s="145">
        <f>IF(K15=0,F15+H15,IF(K15="","",ROUNDUP((((F15+H15)*I15)/K15)/100,0)*100))</f>
        <v>353900</v>
      </c>
      <c r="N15" s="170">
        <f>IF(M15="","",M15/E15)</f>
        <v>1.6035342093339375</v>
      </c>
      <c r="O15" s="108">
        <f>IF(P15=0,0,M15/P15)</f>
        <v>0.85524407926534562</v>
      </c>
      <c r="P15" s="95">
        <v>413800</v>
      </c>
      <c r="Q15" s="171">
        <v>217500</v>
      </c>
      <c r="R15" s="96">
        <f>IF(P15=0,0,P15/Q15)</f>
        <v>1.9025287356321838</v>
      </c>
      <c r="S15" s="95">
        <v>348200</v>
      </c>
      <c r="T15" s="171">
        <v>217500</v>
      </c>
      <c r="U15" s="96">
        <f>IF(S15=0,0,S15/T15)</f>
        <v>1.600919540229885</v>
      </c>
      <c r="V15" s="7" t="s">
        <v>35</v>
      </c>
      <c r="W15" s="7" t="s">
        <v>58</v>
      </c>
      <c r="X15" s="7" t="s">
        <v>234</v>
      </c>
      <c r="Y15" s="7" t="s">
        <v>70</v>
      </c>
      <c r="Z15" s="32"/>
      <c r="AA15" s="62"/>
      <c r="AB15" s="63"/>
      <c r="AG15" s="3">
        <v>14</v>
      </c>
      <c r="AH15" s="8"/>
      <c r="AI15" s="3"/>
    </row>
    <row r="16" spans="1:35" x14ac:dyDescent="0.15">
      <c r="A16" s="82"/>
      <c r="B16" s="162"/>
      <c r="C16" s="172"/>
      <c r="D16" s="173"/>
      <c r="E16" s="165"/>
      <c r="F16" s="165"/>
      <c r="G16" s="167"/>
      <c r="H16" s="168"/>
      <c r="I16" s="89"/>
      <c r="J16" s="83"/>
      <c r="K16" s="144"/>
      <c r="L16" s="169"/>
      <c r="M16" s="145"/>
      <c r="N16" s="170"/>
      <c r="O16" s="108"/>
      <c r="P16" s="95"/>
      <c r="Q16" s="171"/>
      <c r="R16" s="96"/>
      <c r="S16" s="95"/>
      <c r="T16" s="171"/>
      <c r="U16" s="96"/>
      <c r="Z16" s="32"/>
      <c r="AA16" s="62"/>
      <c r="AB16" s="63"/>
      <c r="AG16" s="3">
        <v>15</v>
      </c>
      <c r="AH16" s="8"/>
      <c r="AI16" s="3"/>
    </row>
    <row r="17" spans="1:35" x14ac:dyDescent="0.15">
      <c r="A17" s="82" t="s">
        <v>243</v>
      </c>
      <c r="B17" s="162"/>
      <c r="C17" s="172"/>
      <c r="D17" s="173"/>
      <c r="E17" s="165"/>
      <c r="F17" s="165"/>
      <c r="G17" s="167"/>
      <c r="H17" s="168"/>
      <c r="I17" s="89"/>
      <c r="J17" s="83"/>
      <c r="K17" s="144"/>
      <c r="L17" s="169"/>
      <c r="M17" s="145"/>
      <c r="N17" s="170"/>
      <c r="O17" s="108"/>
      <c r="P17" s="95"/>
      <c r="Q17" s="171"/>
      <c r="R17" s="96"/>
      <c r="S17" s="95"/>
      <c r="T17" s="171"/>
      <c r="U17" s="96"/>
      <c r="Z17" s="32"/>
      <c r="AA17" s="62"/>
      <c r="AB17" s="63"/>
      <c r="AG17" s="3">
        <v>16</v>
      </c>
      <c r="AH17" s="8"/>
      <c r="AI17" s="3"/>
    </row>
    <row r="18" spans="1:35" x14ac:dyDescent="0.15">
      <c r="A18" s="82"/>
      <c r="B18" s="162" t="s">
        <v>244</v>
      </c>
      <c r="C18" s="172" t="s">
        <v>245</v>
      </c>
      <c r="D18" s="173" t="s">
        <v>214</v>
      </c>
      <c r="E18" s="165">
        <v>276800</v>
      </c>
      <c r="F18" s="165">
        <v>471000</v>
      </c>
      <c r="G18" s="167">
        <v>0.2</v>
      </c>
      <c r="H18" s="168">
        <f>ROUNDUP(((E18*G18)/100),0)*100</f>
        <v>55400</v>
      </c>
      <c r="I18" s="89">
        <v>118</v>
      </c>
      <c r="J18" s="83" t="s">
        <v>183</v>
      </c>
      <c r="K18" s="144">
        <v>118</v>
      </c>
      <c r="L18" s="169">
        <f>IF(M18="","",M18-(F18+H18))</f>
        <v>0</v>
      </c>
      <c r="M18" s="145">
        <f>IF(K18=0,F18+H18,IF(K18="","",ROUNDUP((((F18+H18)*I18)/K18)/100,0)*100))</f>
        <v>526400</v>
      </c>
      <c r="N18" s="170">
        <f>IF(M18="","",M18/E18)</f>
        <v>1.9017341040462428</v>
      </c>
      <c r="O18" s="108">
        <f>IF(P18=0,0,M18/P18)</f>
        <v>1.0368327752609809</v>
      </c>
      <c r="P18" s="95">
        <v>507700</v>
      </c>
      <c r="Q18" s="171">
        <v>266900</v>
      </c>
      <c r="R18" s="96">
        <f>IF(P18=0,0,P18/Q18)</f>
        <v>1.9022105657549644</v>
      </c>
      <c r="S18" s="95">
        <v>507400</v>
      </c>
      <c r="T18" s="171">
        <v>266900</v>
      </c>
      <c r="U18" s="96">
        <f>IF(S18=0,0,S18/T18)</f>
        <v>1.9010865492693894</v>
      </c>
      <c r="V18" s="7" t="s">
        <v>35</v>
      </c>
      <c r="W18" s="7" t="s">
        <v>60</v>
      </c>
      <c r="X18" s="7" t="s">
        <v>246</v>
      </c>
      <c r="Y18" s="7" t="s">
        <v>70</v>
      </c>
      <c r="Z18" s="32"/>
      <c r="AA18" s="62"/>
      <c r="AB18" s="63"/>
      <c r="AG18" s="3">
        <v>17</v>
      </c>
      <c r="AH18" s="8"/>
      <c r="AI18" s="3"/>
    </row>
    <row r="19" spans="1:35" x14ac:dyDescent="0.15">
      <c r="A19" s="82"/>
      <c r="B19" s="162" t="s">
        <v>247</v>
      </c>
      <c r="C19" s="172" t="s">
        <v>248</v>
      </c>
      <c r="D19" s="173" t="s">
        <v>213</v>
      </c>
      <c r="E19" s="165">
        <v>233300</v>
      </c>
      <c r="F19" s="165">
        <v>397000</v>
      </c>
      <c r="G19" s="167">
        <v>0.1</v>
      </c>
      <c r="H19" s="168">
        <f>ROUNDUP(((E19*G19)/100),0)*100</f>
        <v>23400</v>
      </c>
      <c r="I19" s="89">
        <v>118</v>
      </c>
      <c r="J19" s="83" t="s">
        <v>183</v>
      </c>
      <c r="K19" s="144">
        <v>118</v>
      </c>
      <c r="L19" s="169">
        <f>IF(M19="","",M19-(F19+H19))</f>
        <v>0</v>
      </c>
      <c r="M19" s="145">
        <f>IF(K19=0,F19+H19,IF(K19="","",ROUNDUP((((F19+H19)*I19)/K19)/100,0)*100))</f>
        <v>420400</v>
      </c>
      <c r="N19" s="170">
        <f>IF(M19="","",M19/E19)</f>
        <v>1.8019717102443207</v>
      </c>
      <c r="O19" s="108">
        <f>IF(P19=0,0,M19/P19)</f>
        <v>0.96665900206944122</v>
      </c>
      <c r="P19" s="95">
        <v>434900</v>
      </c>
      <c r="Q19" s="171">
        <v>228600</v>
      </c>
      <c r="R19" s="96">
        <f>IF(P19=0,0,P19/Q19)</f>
        <v>1.9024496937882764</v>
      </c>
      <c r="S19" s="95">
        <v>411900</v>
      </c>
      <c r="T19" s="171">
        <v>228600</v>
      </c>
      <c r="U19" s="96">
        <f>IF(S19=0,0,S19/T19)</f>
        <v>1.8018372703412073</v>
      </c>
      <c r="V19" s="7" t="s">
        <v>35</v>
      </c>
      <c r="W19" s="7" t="s">
        <v>60</v>
      </c>
      <c r="X19" s="7" t="s">
        <v>246</v>
      </c>
      <c r="Y19" s="7" t="s">
        <v>70</v>
      </c>
      <c r="Z19" s="32"/>
      <c r="AA19" s="62"/>
      <c r="AB19" s="63"/>
      <c r="AG19" s="3">
        <v>18</v>
      </c>
      <c r="AH19" s="8"/>
      <c r="AI19" s="3"/>
    </row>
    <row r="20" spans="1:35" ht="12.75" customHeight="1" x14ac:dyDescent="0.15">
      <c r="A20" s="82"/>
      <c r="B20" s="162" t="s">
        <v>249</v>
      </c>
      <c r="C20" s="172" t="s">
        <v>250</v>
      </c>
      <c r="D20" s="173" t="s">
        <v>213</v>
      </c>
      <c r="E20" s="165">
        <v>214400</v>
      </c>
      <c r="F20" s="165">
        <v>365000</v>
      </c>
      <c r="G20" s="167">
        <v>0</v>
      </c>
      <c r="H20" s="168">
        <f>ROUNDUP(((E20*G20)/100),0)*100</f>
        <v>0</v>
      </c>
      <c r="I20" s="89">
        <v>118</v>
      </c>
      <c r="J20" s="83" t="s">
        <v>183</v>
      </c>
      <c r="K20" s="144">
        <v>118</v>
      </c>
      <c r="L20" s="169">
        <f>IF(M20="","",M20-(F20+H20))</f>
        <v>0</v>
      </c>
      <c r="M20" s="145">
        <f>IF(K20=0,F20+H20,IF(K20="","",ROUNDUP((((F20+H20)*I20)/K20)/100,0)*100))</f>
        <v>365000</v>
      </c>
      <c r="N20" s="170">
        <f>IF(M20="","",M20/E20)</f>
        <v>1.7024253731343284</v>
      </c>
      <c r="O20" s="108">
        <f>IF(P20=0,0,M20/P20)</f>
        <v>18.25</v>
      </c>
      <c r="P20" s="95">
        <v>20000</v>
      </c>
      <c r="Q20" s="171">
        <v>209600</v>
      </c>
      <c r="R20" s="96">
        <f>IF(P20=0,0,P20/Q20)</f>
        <v>9.5419847328244281E-2</v>
      </c>
      <c r="S20" s="95"/>
      <c r="T20" s="171"/>
      <c r="U20" s="96"/>
      <c r="V20" s="7" t="s">
        <v>35</v>
      </c>
      <c r="W20" s="7" t="s">
        <v>60</v>
      </c>
      <c r="X20" s="7" t="s">
        <v>246</v>
      </c>
      <c r="Y20" s="7" t="s">
        <v>70</v>
      </c>
      <c r="Z20" s="32"/>
      <c r="AA20" s="62"/>
      <c r="AB20" s="63"/>
      <c r="AG20" s="3">
        <v>19</v>
      </c>
      <c r="AH20" s="8"/>
      <c r="AI20" s="3"/>
    </row>
    <row r="21" spans="1:35" x14ac:dyDescent="0.15">
      <c r="A21" s="82"/>
      <c r="B21" s="162"/>
      <c r="C21" s="172"/>
      <c r="D21" s="173"/>
      <c r="E21" s="165"/>
      <c r="F21" s="165"/>
      <c r="G21" s="167"/>
      <c r="H21" s="168"/>
      <c r="I21" s="89"/>
      <c r="J21" s="83"/>
      <c r="K21" s="144"/>
      <c r="L21" s="169"/>
      <c r="M21" s="145"/>
      <c r="N21" s="170"/>
      <c r="O21" s="108"/>
      <c r="P21" s="95"/>
      <c r="Q21" s="171"/>
      <c r="R21" s="96"/>
      <c r="S21" s="95"/>
      <c r="T21" s="171"/>
      <c r="U21" s="96"/>
      <c r="Z21" s="32"/>
      <c r="AA21" s="62"/>
      <c r="AB21" s="63"/>
      <c r="AG21" s="3">
        <v>20</v>
      </c>
      <c r="AH21" s="8"/>
      <c r="AI21" s="3"/>
    </row>
    <row r="22" spans="1:35" x14ac:dyDescent="0.15">
      <c r="A22" s="82" t="s">
        <v>251</v>
      </c>
      <c r="B22" s="162"/>
      <c r="C22" s="172"/>
      <c r="D22" s="173"/>
      <c r="E22" s="165"/>
      <c r="F22" s="165"/>
      <c r="G22" s="167"/>
      <c r="H22" s="168"/>
      <c r="I22" s="89"/>
      <c r="J22" s="83"/>
      <c r="K22" s="144"/>
      <c r="L22" s="169"/>
      <c r="M22" s="145"/>
      <c r="N22" s="170"/>
      <c r="O22" s="108"/>
      <c r="P22" s="95"/>
      <c r="Q22" s="171"/>
      <c r="R22" s="96"/>
      <c r="S22" s="95"/>
      <c r="T22" s="171"/>
      <c r="U22" s="96"/>
      <c r="Z22" s="32"/>
      <c r="AA22" s="62"/>
      <c r="AB22" s="63"/>
      <c r="AG22" s="3">
        <v>21</v>
      </c>
      <c r="AH22" s="8"/>
      <c r="AI22" s="3"/>
    </row>
    <row r="23" spans="1:35" x14ac:dyDescent="0.15">
      <c r="A23" s="82"/>
      <c r="B23" s="162" t="s">
        <v>252</v>
      </c>
      <c r="C23" s="172" t="s">
        <v>253</v>
      </c>
      <c r="D23" s="173" t="s">
        <v>211</v>
      </c>
      <c r="E23" s="165">
        <v>347700</v>
      </c>
      <c r="F23" s="165">
        <v>592000</v>
      </c>
      <c r="G23" s="167">
        <v>0.1</v>
      </c>
      <c r="H23" s="168">
        <f>ROUNDUP(((E23*G23)/100),0)*100</f>
        <v>34800</v>
      </c>
      <c r="I23" s="89">
        <v>118</v>
      </c>
      <c r="J23" s="83" t="s">
        <v>183</v>
      </c>
      <c r="K23" s="144">
        <v>118</v>
      </c>
      <c r="L23" s="169">
        <f>IF(M23="","",M23-(F23+H23))</f>
        <v>0</v>
      </c>
      <c r="M23" s="145">
        <f>IF(K23=0,F23+H23,IF(K23="","",ROUNDUP((((F23+H23)*I23)/K23)/100,0)*100))</f>
        <v>626800</v>
      </c>
      <c r="N23" s="170">
        <f>IF(M23="","",M23/E23)</f>
        <v>1.8027034800115043</v>
      </c>
      <c r="O23" s="108">
        <f>IF(P23=0,0,M23/P23)</f>
        <v>0.96862926904651525</v>
      </c>
      <c r="P23" s="95">
        <v>647100</v>
      </c>
      <c r="Q23" s="171">
        <v>340300</v>
      </c>
      <c r="R23" s="96">
        <f>IF(P23=0,0,P23/Q23)</f>
        <v>1.9015574493094329</v>
      </c>
      <c r="S23" s="95">
        <v>579000</v>
      </c>
      <c r="T23" s="171">
        <v>340300</v>
      </c>
      <c r="U23" s="96">
        <f>IF(S23=0,0,S23/T23)</f>
        <v>1.7014399059653247</v>
      </c>
      <c r="V23" s="7" t="s">
        <v>35</v>
      </c>
      <c r="W23" s="7" t="s">
        <v>254</v>
      </c>
      <c r="X23" s="7" t="s">
        <v>255</v>
      </c>
      <c r="Y23" s="7" t="s">
        <v>70</v>
      </c>
      <c r="Z23" s="32"/>
      <c r="AA23" s="62"/>
      <c r="AB23" s="63"/>
    </row>
    <row r="24" spans="1:35" x14ac:dyDescent="0.15">
      <c r="A24" s="82"/>
      <c r="B24" s="162"/>
      <c r="C24" s="172"/>
      <c r="D24" s="173"/>
      <c r="E24" s="165"/>
      <c r="F24" s="165"/>
      <c r="G24" s="167"/>
      <c r="H24" s="168"/>
      <c r="I24" s="89"/>
      <c r="J24" s="83"/>
      <c r="K24" s="144"/>
      <c r="L24" s="169"/>
      <c r="M24" s="145"/>
      <c r="N24" s="170"/>
      <c r="O24" s="108"/>
      <c r="P24" s="95"/>
      <c r="Q24" s="171"/>
      <c r="R24" s="96"/>
      <c r="S24" s="95"/>
      <c r="T24" s="171"/>
      <c r="U24" s="96"/>
      <c r="Z24" s="32"/>
      <c r="AA24" s="62"/>
      <c r="AB24" s="63"/>
    </row>
    <row r="25" spans="1:35" x14ac:dyDescent="0.15">
      <c r="A25" s="82" t="s">
        <v>256</v>
      </c>
      <c r="B25" s="162"/>
      <c r="C25" s="172"/>
      <c r="D25" s="173"/>
      <c r="E25" s="165"/>
      <c r="F25" s="165"/>
      <c r="G25" s="167"/>
      <c r="H25" s="168"/>
      <c r="I25" s="89"/>
      <c r="J25" s="83"/>
      <c r="K25" s="144"/>
      <c r="L25" s="169"/>
      <c r="M25" s="145"/>
      <c r="N25" s="170"/>
      <c r="O25" s="108"/>
      <c r="P25" s="95"/>
      <c r="Q25" s="171"/>
      <c r="R25" s="96"/>
      <c r="S25" s="95"/>
      <c r="T25" s="171"/>
      <c r="U25" s="96"/>
      <c r="Z25" s="32"/>
      <c r="AA25" s="62"/>
      <c r="AB25" s="63"/>
    </row>
    <row r="26" spans="1:35" x14ac:dyDescent="0.15">
      <c r="A26" s="82"/>
      <c r="B26" s="162" t="s">
        <v>257</v>
      </c>
      <c r="C26" s="172" t="s">
        <v>258</v>
      </c>
      <c r="D26" s="173" t="s">
        <v>214</v>
      </c>
      <c r="E26" s="165">
        <v>317200</v>
      </c>
      <c r="F26" s="165">
        <v>540000</v>
      </c>
      <c r="G26" s="167">
        <v>0</v>
      </c>
      <c r="H26" s="168">
        <f>ROUNDUP(((E26*G26)/100),0)*100</f>
        <v>0</v>
      </c>
      <c r="I26" s="89">
        <v>118</v>
      </c>
      <c r="J26" s="83" t="s">
        <v>183</v>
      </c>
      <c r="K26" s="144">
        <v>118</v>
      </c>
      <c r="L26" s="169">
        <f>IF(M26="","",M26-(F26+H26))</f>
        <v>0</v>
      </c>
      <c r="M26" s="145">
        <f>IF(K26=0,F26+H26,IF(K26="","",ROUNDUP((((F26+H26)*I26)/K26)/100,0)*100))</f>
        <v>540000</v>
      </c>
      <c r="N26" s="170">
        <f>IF(M26="","",M26/E26)</f>
        <v>1.7023959646910467</v>
      </c>
      <c r="O26" s="108">
        <f>IF(P26=0,0,M26/P26)</f>
        <v>0.91836734693877553</v>
      </c>
      <c r="P26" s="95">
        <v>588000</v>
      </c>
      <c r="Q26" s="171">
        <v>309300</v>
      </c>
      <c r="R26" s="96">
        <f>IF(P26=0,0,P26/Q26)</f>
        <v>1.9010669253152279</v>
      </c>
      <c r="S26" s="95">
        <v>557000</v>
      </c>
      <c r="T26" s="171">
        <v>309300</v>
      </c>
      <c r="U26" s="96">
        <f>IF(S26=0,0,S26/T26)</f>
        <v>1.800840607824119</v>
      </c>
      <c r="V26" s="7" t="s">
        <v>35</v>
      </c>
      <c r="W26" s="7" t="s">
        <v>61</v>
      </c>
      <c r="X26" s="7" t="s">
        <v>259</v>
      </c>
      <c r="Y26" s="7" t="s">
        <v>70</v>
      </c>
      <c r="Z26" s="32"/>
      <c r="AA26" s="62"/>
      <c r="AB26" s="63"/>
    </row>
    <row r="27" spans="1:35" x14ac:dyDescent="0.15">
      <c r="A27" s="82"/>
      <c r="B27" s="162"/>
      <c r="C27" s="172"/>
      <c r="D27" s="173"/>
      <c r="E27" s="165"/>
      <c r="F27" s="165"/>
      <c r="G27" s="167"/>
      <c r="H27" s="168"/>
      <c r="I27" s="89"/>
      <c r="J27" s="83"/>
      <c r="K27" s="144"/>
      <c r="L27" s="169"/>
      <c r="M27" s="145"/>
      <c r="N27" s="170"/>
      <c r="O27" s="108"/>
      <c r="P27" s="95"/>
      <c r="Q27" s="171"/>
      <c r="R27" s="96"/>
      <c r="S27" s="95"/>
      <c r="T27" s="171"/>
      <c r="U27" s="96"/>
      <c r="Z27" s="32"/>
      <c r="AA27" s="62"/>
      <c r="AB27" s="63"/>
    </row>
    <row r="28" spans="1:35" ht="14.25" thickBot="1" x14ac:dyDescent="0.2">
      <c r="A28" s="127"/>
      <c r="B28" s="174"/>
      <c r="C28" s="175" t="s">
        <v>184</v>
      </c>
      <c r="D28" s="176"/>
      <c r="E28" s="177">
        <v>3109700</v>
      </c>
      <c r="F28" s="177">
        <v>5292000</v>
      </c>
      <c r="G28" s="178"/>
      <c r="H28" s="179">
        <v>65800</v>
      </c>
      <c r="I28" s="128"/>
      <c r="J28" s="129"/>
      <c r="K28" s="151"/>
      <c r="L28" s="180"/>
      <c r="M28" s="150">
        <v>5357800</v>
      </c>
      <c r="N28" s="181">
        <f>IF(M28="","",M28/E28)</f>
        <v>1.7229314724893077</v>
      </c>
      <c r="O28" s="139">
        <f>IF(P28=0,0,M28/P28)</f>
        <v>0.98454583876954738</v>
      </c>
      <c r="P28" s="130">
        <v>5441900</v>
      </c>
      <c r="Q28" s="182">
        <v>3044700</v>
      </c>
      <c r="R28" s="131">
        <f>IF(P28=0,"",P28/Q28)</f>
        <v>1.7873353696587513</v>
      </c>
      <c r="S28" s="130">
        <v>5085900</v>
      </c>
      <c r="T28" s="182">
        <v>2835100</v>
      </c>
      <c r="U28" s="131">
        <f>IF(S28=0,"",S28/T28)</f>
        <v>1.7939049768967585</v>
      </c>
      <c r="Z28" s="32"/>
      <c r="AA28" s="62"/>
      <c r="AB28" s="63"/>
    </row>
    <row r="29" spans="1:35" ht="14.25" thickTop="1" x14ac:dyDescent="0.15">
      <c r="A29" s="122"/>
      <c r="B29" s="209"/>
      <c r="C29" s="183"/>
      <c r="D29" s="184"/>
      <c r="E29" s="185"/>
      <c r="F29" s="185"/>
      <c r="G29" s="186"/>
      <c r="H29" s="187"/>
      <c r="I29" s="123"/>
      <c r="J29" s="124"/>
      <c r="K29" s="152"/>
      <c r="L29" s="188"/>
      <c r="M29" s="149"/>
      <c r="N29" s="189"/>
      <c r="O29" s="208"/>
      <c r="P29" s="125"/>
      <c r="Q29" s="190"/>
      <c r="R29" s="126"/>
      <c r="S29" s="125"/>
      <c r="T29" s="190"/>
      <c r="U29" s="126"/>
      <c r="Z29" s="32"/>
      <c r="AA29" s="62"/>
      <c r="AB29" s="63"/>
    </row>
    <row r="30" spans="1:35" x14ac:dyDescent="0.15">
      <c r="A30" s="121" t="s">
        <v>185</v>
      </c>
      <c r="B30" s="162"/>
      <c r="C30" s="172"/>
      <c r="D30" s="173"/>
      <c r="E30" s="165"/>
      <c r="F30" s="165"/>
      <c r="G30" s="167"/>
      <c r="H30" s="168"/>
      <c r="I30" s="89"/>
      <c r="J30" s="83"/>
      <c r="K30" s="144"/>
      <c r="L30" s="169"/>
      <c r="M30" s="145"/>
      <c r="N30" s="170"/>
      <c r="O30" s="108"/>
      <c r="P30" s="95"/>
      <c r="Q30" s="171"/>
      <c r="R30" s="96"/>
      <c r="S30" s="95"/>
      <c r="T30" s="171"/>
      <c r="U30" s="96"/>
      <c r="Z30" s="7"/>
      <c r="AA30" s="62"/>
      <c r="AB30" s="63"/>
    </row>
    <row r="31" spans="1:35" x14ac:dyDescent="0.15">
      <c r="A31" s="82"/>
      <c r="B31" s="162"/>
      <c r="C31" s="172"/>
      <c r="D31" s="173"/>
      <c r="E31" s="165"/>
      <c r="F31" s="165"/>
      <c r="G31" s="167"/>
      <c r="H31" s="168"/>
      <c r="I31" s="89"/>
      <c r="J31" s="83"/>
      <c r="K31" s="144"/>
      <c r="L31" s="169"/>
      <c r="M31" s="145"/>
      <c r="N31" s="170"/>
      <c r="O31" s="107"/>
      <c r="P31" s="95"/>
      <c r="Q31" s="171"/>
      <c r="R31" s="96"/>
      <c r="S31" s="95"/>
      <c r="T31" s="171"/>
      <c r="U31" s="96"/>
      <c r="Z31" s="32"/>
      <c r="AA31" s="62"/>
      <c r="AB31" s="63"/>
    </row>
    <row r="32" spans="1:35" x14ac:dyDescent="0.15">
      <c r="A32" s="82" t="s">
        <v>186</v>
      </c>
      <c r="B32" s="162"/>
      <c r="C32" s="172"/>
      <c r="D32" s="173"/>
      <c r="E32" s="165"/>
      <c r="F32" s="165" t="s">
        <v>221</v>
      </c>
      <c r="G32" s="167"/>
      <c r="H32" s="168"/>
      <c r="I32" s="89"/>
      <c r="J32" s="83"/>
      <c r="K32" s="144"/>
      <c r="L32" s="169"/>
      <c r="M32" s="145"/>
      <c r="N32" s="170"/>
      <c r="O32" s="107"/>
      <c r="P32" s="95"/>
      <c r="Q32" s="171"/>
      <c r="R32" s="96"/>
      <c r="S32" s="95"/>
      <c r="T32" s="171"/>
      <c r="U32" s="96"/>
      <c r="Z32" s="7"/>
      <c r="AA32" s="62"/>
      <c r="AB32" s="63"/>
    </row>
    <row r="33" spans="1:28" x14ac:dyDescent="0.15">
      <c r="A33" s="82"/>
      <c r="B33" s="162" t="s">
        <v>260</v>
      </c>
      <c r="C33" s="163" t="s">
        <v>261</v>
      </c>
      <c r="D33" s="164" t="s">
        <v>211</v>
      </c>
      <c r="E33" s="165">
        <v>389400</v>
      </c>
      <c r="F33" s="165">
        <v>662000</v>
      </c>
      <c r="G33" s="167">
        <v>-0.1</v>
      </c>
      <c r="H33" s="168">
        <f>ROUNDUP(((E33*G33)/100),0)*100</f>
        <v>-39000</v>
      </c>
      <c r="I33" s="89">
        <v>118</v>
      </c>
      <c r="J33" s="83" t="s">
        <v>183</v>
      </c>
      <c r="K33" s="144">
        <v>118</v>
      </c>
      <c r="L33" s="169">
        <f t="shared" ref="L33:L56" si="0">IF(M33="","",M33-(F33+H33))</f>
        <v>0</v>
      </c>
      <c r="M33" s="145">
        <f>IF(K33=0,F33+H33,IF(K33="","",ROUNDUP((((F33+H33)*I33)/K33)/100,0)*100))</f>
        <v>623000</v>
      </c>
      <c r="N33" s="170">
        <f t="shared" ref="N33:N56" si="1">IF(M33="","",M33/E33)</f>
        <v>1.5998972778633795</v>
      </c>
      <c r="O33" s="107">
        <f t="shared" ref="O33:O56" si="2">IF(P33=0,0,M33/P33)</f>
        <v>0.94108761329305135</v>
      </c>
      <c r="P33" s="95">
        <v>662000</v>
      </c>
      <c r="Q33" s="171">
        <v>389400</v>
      </c>
      <c r="R33" s="96">
        <f t="shared" ref="R33:R56" si="3">IF(P33=0,0,P33/Q33)</f>
        <v>1.7000513610683101</v>
      </c>
      <c r="S33" s="95">
        <v>623000</v>
      </c>
      <c r="T33" s="171">
        <v>389400</v>
      </c>
      <c r="U33" s="96">
        <f t="shared" ref="U33:U56" si="4">IF(S33=0,0,S33/T33)</f>
        <v>1.5998972778633795</v>
      </c>
      <c r="V33" s="7" t="s">
        <v>122</v>
      </c>
      <c r="W33" s="7" t="s">
        <v>62</v>
      </c>
      <c r="X33" s="7" t="s">
        <v>262</v>
      </c>
      <c r="Y33" s="7" t="s">
        <v>70</v>
      </c>
      <c r="Z33" s="32"/>
      <c r="AA33" s="62"/>
      <c r="AB33" s="63"/>
    </row>
    <row r="34" spans="1:28" x14ac:dyDescent="0.15">
      <c r="A34" s="82" t="s">
        <v>316</v>
      </c>
      <c r="B34" s="162" t="s">
        <v>263</v>
      </c>
      <c r="C34" s="172" t="s">
        <v>264</v>
      </c>
      <c r="D34" s="173" t="s">
        <v>211</v>
      </c>
      <c r="E34" s="165">
        <v>418300</v>
      </c>
      <c r="F34" s="165">
        <v>712000</v>
      </c>
      <c r="G34" s="191">
        <v>-0.1</v>
      </c>
      <c r="H34" s="168">
        <v>-12000</v>
      </c>
      <c r="I34" s="89">
        <v>118</v>
      </c>
      <c r="J34" s="83" t="s">
        <v>183</v>
      </c>
      <c r="K34" s="144">
        <v>118</v>
      </c>
      <c r="L34" s="169">
        <f t="shared" si="0"/>
        <v>0</v>
      </c>
      <c r="M34" s="145">
        <f>IF(K34=0,F34+H34,IF(K34="","",ROUNDUP((((F34+H34)*I34)/K34)/100,0)*100))</f>
        <v>700000</v>
      </c>
      <c r="N34" s="170">
        <f t="shared" si="1"/>
        <v>1.6734401147501794</v>
      </c>
      <c r="O34" s="107">
        <f t="shared" si="2"/>
        <v>0.98953915747808874</v>
      </c>
      <c r="P34" s="95">
        <v>707400</v>
      </c>
      <c r="Q34" s="171">
        <v>415900</v>
      </c>
      <c r="R34" s="96">
        <f t="shared" si="3"/>
        <v>1.7008896369319548</v>
      </c>
      <c r="S34" s="95">
        <v>708000</v>
      </c>
      <c r="T34" s="171">
        <v>415900</v>
      </c>
      <c r="U34" s="96">
        <f t="shared" si="4"/>
        <v>1.7023322914162058</v>
      </c>
      <c r="V34" s="7" t="s">
        <v>122</v>
      </c>
      <c r="W34" s="7" t="s">
        <v>63</v>
      </c>
      <c r="X34" s="7" t="s">
        <v>265</v>
      </c>
      <c r="Y34" s="7" t="s">
        <v>70</v>
      </c>
      <c r="Z34" s="32" t="s">
        <v>339</v>
      </c>
      <c r="AA34" s="62"/>
      <c r="AB34" s="63"/>
    </row>
    <row r="35" spans="1:28" x14ac:dyDescent="0.15">
      <c r="A35" s="82"/>
      <c r="B35" s="162" t="s">
        <v>266</v>
      </c>
      <c r="C35" s="172" t="s">
        <v>267</v>
      </c>
      <c r="D35" s="173" t="s">
        <v>214</v>
      </c>
      <c r="E35" s="165">
        <v>309300</v>
      </c>
      <c r="F35" s="165">
        <v>526000</v>
      </c>
      <c r="G35" s="191">
        <v>0.05</v>
      </c>
      <c r="H35" s="168">
        <f>ROUNDUP(((E35*G35)/100),0)*100</f>
        <v>15500</v>
      </c>
      <c r="I35" s="89">
        <v>118</v>
      </c>
      <c r="J35" s="83" t="s">
        <v>183</v>
      </c>
      <c r="K35" s="144">
        <v>118</v>
      </c>
      <c r="L35" s="169">
        <f t="shared" si="0"/>
        <v>0</v>
      </c>
      <c r="M35" s="145">
        <f>IF(K35=0,F35+H35,IF(K35="","",ROUNDUP((((F35+H35)*I35)/K35)/100,0)*100))</f>
        <v>541500</v>
      </c>
      <c r="N35" s="170">
        <f t="shared" si="1"/>
        <v>1.7507274490785645</v>
      </c>
      <c r="O35" s="107">
        <f t="shared" si="2"/>
        <v>0.9845454545454545</v>
      </c>
      <c r="P35" s="95">
        <v>550000</v>
      </c>
      <c r="Q35" s="171">
        <v>305400</v>
      </c>
      <c r="R35" s="96">
        <f t="shared" si="3"/>
        <v>1.8009168303863785</v>
      </c>
      <c r="S35" s="95">
        <v>491000</v>
      </c>
      <c r="T35" s="171">
        <v>288600</v>
      </c>
      <c r="U35" s="96">
        <f t="shared" si="4"/>
        <v>1.7013167013167012</v>
      </c>
      <c r="V35" s="7" t="s">
        <v>122</v>
      </c>
      <c r="W35" s="7" t="s">
        <v>62</v>
      </c>
      <c r="X35" s="7" t="s">
        <v>262</v>
      </c>
      <c r="Y35" s="7" t="s">
        <v>70</v>
      </c>
      <c r="Z35" s="7"/>
      <c r="AA35" s="62"/>
      <c r="AB35" s="63"/>
    </row>
    <row r="36" spans="1:28" x14ac:dyDescent="0.15">
      <c r="A36" s="82"/>
      <c r="B36" s="162" t="s">
        <v>268</v>
      </c>
      <c r="C36" s="172" t="s">
        <v>269</v>
      </c>
      <c r="D36" s="173" t="s">
        <v>214</v>
      </c>
      <c r="E36" s="165">
        <v>279900</v>
      </c>
      <c r="F36" s="165">
        <v>476000</v>
      </c>
      <c r="G36" s="191">
        <v>0.05</v>
      </c>
      <c r="H36" s="168">
        <f>ROUNDUP(((E36*G36)/100),0)*100</f>
        <v>14000</v>
      </c>
      <c r="I36" s="89">
        <v>118</v>
      </c>
      <c r="J36" s="83" t="s">
        <v>183</v>
      </c>
      <c r="K36" s="144">
        <v>118</v>
      </c>
      <c r="L36" s="169">
        <f t="shared" si="0"/>
        <v>0</v>
      </c>
      <c r="M36" s="145">
        <f>IF(K36=0,F36+H36,IF(K36="","",ROUNDUP((((F36+H36)*I36)/K36)/100,0)*100))</f>
        <v>490000</v>
      </c>
      <c r="N36" s="170">
        <f t="shared" si="1"/>
        <v>1.7506252232940336</v>
      </c>
      <c r="O36" s="107">
        <f t="shared" si="2"/>
        <v>1.0251046025104602</v>
      </c>
      <c r="P36" s="95">
        <v>478000</v>
      </c>
      <c r="Q36" s="171">
        <v>258100</v>
      </c>
      <c r="R36" s="96">
        <f t="shared" si="3"/>
        <v>1.851995350639287</v>
      </c>
      <c r="S36" s="95">
        <v>439000</v>
      </c>
      <c r="T36" s="171">
        <v>258100</v>
      </c>
      <c r="U36" s="96">
        <f t="shared" si="4"/>
        <v>1.700891127469973</v>
      </c>
      <c r="V36" s="7" t="s">
        <v>122</v>
      </c>
      <c r="W36" s="7" t="s">
        <v>69</v>
      </c>
      <c r="X36" s="7" t="s">
        <v>270</v>
      </c>
      <c r="Y36" s="7" t="s">
        <v>70</v>
      </c>
      <c r="Z36" s="7"/>
      <c r="AA36" s="62"/>
      <c r="AB36" s="63"/>
    </row>
    <row r="37" spans="1:28" x14ac:dyDescent="0.15">
      <c r="A37" s="82"/>
      <c r="B37" s="162" t="s">
        <v>199</v>
      </c>
      <c r="C37" s="172" t="s">
        <v>200</v>
      </c>
      <c r="D37" s="173" t="s">
        <v>214</v>
      </c>
      <c r="E37" s="165">
        <v>322400</v>
      </c>
      <c r="F37" s="165">
        <v>549000</v>
      </c>
      <c r="G37" s="191">
        <v>0</v>
      </c>
      <c r="H37" s="168">
        <f>ROUNDUP(((E37*G37)/100),0)*100</f>
        <v>0</v>
      </c>
      <c r="I37" s="89">
        <v>118</v>
      </c>
      <c r="J37" s="83" t="s">
        <v>183</v>
      </c>
      <c r="K37" s="144">
        <v>118</v>
      </c>
      <c r="L37" s="169">
        <f t="shared" si="0"/>
        <v>0</v>
      </c>
      <c r="M37" s="145">
        <f>IF(K37=0,F37+H37,IF(K37="","",ROUNDUP((((F37+H37)*I37)/K37)/100,0)*100))</f>
        <v>549000</v>
      </c>
      <c r="N37" s="170">
        <f t="shared" si="1"/>
        <v>1.7028535980148884</v>
      </c>
      <c r="O37" s="107">
        <f t="shared" si="2"/>
        <v>0.9631578947368421</v>
      </c>
      <c r="P37" s="95">
        <v>570000</v>
      </c>
      <c r="Q37" s="171">
        <v>316400</v>
      </c>
      <c r="R37" s="96">
        <f t="shared" si="3"/>
        <v>1.8015170670037928</v>
      </c>
      <c r="S37" s="95">
        <v>512000</v>
      </c>
      <c r="T37" s="171">
        <v>300900</v>
      </c>
      <c r="U37" s="96">
        <f t="shared" si="4"/>
        <v>1.7015619807244933</v>
      </c>
      <c r="V37" s="7" t="s">
        <v>122</v>
      </c>
      <c r="W37" s="7" t="s">
        <v>62</v>
      </c>
      <c r="X37" s="7" t="s">
        <v>262</v>
      </c>
      <c r="Y37" s="7" t="s">
        <v>70</v>
      </c>
      <c r="Z37" s="32"/>
      <c r="AA37" s="62"/>
      <c r="AB37" s="63"/>
    </row>
    <row r="38" spans="1:28" x14ac:dyDescent="0.15">
      <c r="A38" s="82" t="s">
        <v>316</v>
      </c>
      <c r="B38" s="162" t="s">
        <v>271</v>
      </c>
      <c r="C38" s="172" t="s">
        <v>272</v>
      </c>
      <c r="D38" s="173" t="s">
        <v>214</v>
      </c>
      <c r="E38" s="165">
        <v>285600</v>
      </c>
      <c r="F38" s="165">
        <v>486000</v>
      </c>
      <c r="G38" s="167">
        <v>0.1</v>
      </c>
      <c r="H38" s="168">
        <v>48600</v>
      </c>
      <c r="I38" s="89">
        <v>118</v>
      </c>
      <c r="J38" s="83" t="s">
        <v>183</v>
      </c>
      <c r="K38" s="144">
        <v>118</v>
      </c>
      <c r="L38" s="169">
        <f t="shared" si="0"/>
        <v>0</v>
      </c>
      <c r="M38" s="145">
        <v>534600</v>
      </c>
      <c r="N38" s="170">
        <f t="shared" si="1"/>
        <v>1.8718487394957983</v>
      </c>
      <c r="O38" s="107">
        <f t="shared" si="2"/>
        <v>1.0190621425848265</v>
      </c>
      <c r="P38" s="95">
        <v>524600</v>
      </c>
      <c r="Q38" s="171">
        <v>275700</v>
      </c>
      <c r="R38" s="96">
        <f t="shared" si="3"/>
        <v>1.9027928908233587</v>
      </c>
      <c r="S38" s="95">
        <v>496600</v>
      </c>
      <c r="T38" s="171">
        <v>275700</v>
      </c>
      <c r="U38" s="96">
        <f t="shared" si="4"/>
        <v>1.8012332245194052</v>
      </c>
      <c r="V38" s="7" t="s">
        <v>122</v>
      </c>
      <c r="W38" s="7" t="s">
        <v>62</v>
      </c>
      <c r="X38" s="7" t="s">
        <v>262</v>
      </c>
      <c r="Y38" s="7" t="s">
        <v>70</v>
      </c>
      <c r="Z38" s="32" t="s">
        <v>317</v>
      </c>
      <c r="AA38" s="62"/>
      <c r="AB38" s="63"/>
    </row>
    <row r="39" spans="1:28" x14ac:dyDescent="0.15">
      <c r="A39" s="82"/>
      <c r="B39" s="162" t="s">
        <v>273</v>
      </c>
      <c r="C39" s="172" t="s">
        <v>274</v>
      </c>
      <c r="D39" s="173" t="s">
        <v>214</v>
      </c>
      <c r="E39" s="165">
        <v>261000</v>
      </c>
      <c r="F39" s="165">
        <v>444000</v>
      </c>
      <c r="G39" s="191">
        <v>0.05</v>
      </c>
      <c r="H39" s="168">
        <f t="shared" ref="H39:H45" si="5">ROUNDUP(((E39*G39)/100),0)*100</f>
        <v>13100</v>
      </c>
      <c r="I39" s="89">
        <v>118</v>
      </c>
      <c r="J39" s="83" t="s">
        <v>183</v>
      </c>
      <c r="K39" s="144">
        <v>118</v>
      </c>
      <c r="L39" s="169">
        <f t="shared" si="0"/>
        <v>0</v>
      </c>
      <c r="M39" s="145">
        <f t="shared" ref="M39:M53" si="6">IF(K39=0,F39+H39,IF(K39="","",ROUNDUP((((F39+H39)*I39)/K39)/100,0)*100))</f>
        <v>457100</v>
      </c>
      <c r="N39" s="170">
        <f t="shared" si="1"/>
        <v>1.7513409961685824</v>
      </c>
      <c r="O39" s="107">
        <f t="shared" si="2"/>
        <v>0.97525069340729675</v>
      </c>
      <c r="P39" s="95">
        <v>468700</v>
      </c>
      <c r="Q39" s="171">
        <v>253100</v>
      </c>
      <c r="R39" s="96">
        <f t="shared" si="3"/>
        <v>1.851837218490715</v>
      </c>
      <c r="S39" s="95">
        <v>443700</v>
      </c>
      <c r="T39" s="171">
        <v>253100</v>
      </c>
      <c r="U39" s="96">
        <f t="shared" si="4"/>
        <v>1.7530620308178586</v>
      </c>
      <c r="V39" s="7" t="s">
        <v>122</v>
      </c>
      <c r="W39" s="7" t="s">
        <v>65</v>
      </c>
      <c r="X39" s="7" t="s">
        <v>275</v>
      </c>
      <c r="Y39" s="7" t="s">
        <v>70</v>
      </c>
      <c r="Z39" s="32"/>
      <c r="AA39" s="62"/>
      <c r="AB39" s="63"/>
    </row>
    <row r="40" spans="1:28" x14ac:dyDescent="0.15">
      <c r="A40" s="82"/>
      <c r="B40" s="162" t="s">
        <v>276</v>
      </c>
      <c r="C40" s="172" t="s">
        <v>277</v>
      </c>
      <c r="D40" s="173" t="s">
        <v>214</v>
      </c>
      <c r="E40" s="165">
        <v>323200</v>
      </c>
      <c r="F40" s="165">
        <v>550000</v>
      </c>
      <c r="G40" s="191">
        <v>-0.05</v>
      </c>
      <c r="H40" s="168">
        <f t="shared" si="5"/>
        <v>-16200</v>
      </c>
      <c r="I40" s="89">
        <v>118</v>
      </c>
      <c r="J40" s="83" t="s">
        <v>183</v>
      </c>
      <c r="K40" s="144">
        <v>118</v>
      </c>
      <c r="L40" s="169">
        <f t="shared" si="0"/>
        <v>0</v>
      </c>
      <c r="M40" s="145">
        <f t="shared" si="6"/>
        <v>533800</v>
      </c>
      <c r="N40" s="170">
        <f t="shared" si="1"/>
        <v>1.6516089108910892</v>
      </c>
      <c r="O40" s="107">
        <f t="shared" si="2"/>
        <v>0.9483034286729437</v>
      </c>
      <c r="P40" s="95">
        <v>562900</v>
      </c>
      <c r="Q40" s="171">
        <v>321200</v>
      </c>
      <c r="R40" s="96">
        <f t="shared" si="3"/>
        <v>1.7524906600249066</v>
      </c>
      <c r="S40" s="95">
        <v>547000</v>
      </c>
      <c r="T40" s="171">
        <v>321200</v>
      </c>
      <c r="U40" s="96">
        <f t="shared" si="4"/>
        <v>1.7029887920298878</v>
      </c>
      <c r="V40" s="7" t="s">
        <v>122</v>
      </c>
      <c r="W40" s="7" t="s">
        <v>63</v>
      </c>
      <c r="X40" s="7" t="s">
        <v>265</v>
      </c>
      <c r="Y40" s="7" t="s">
        <v>70</v>
      </c>
      <c r="Z40" s="32"/>
      <c r="AA40" s="62"/>
      <c r="AB40" s="63"/>
    </row>
    <row r="41" spans="1:28" x14ac:dyDescent="0.15">
      <c r="A41" s="82"/>
      <c r="B41" s="162" t="s">
        <v>278</v>
      </c>
      <c r="C41" s="163" t="s">
        <v>279</v>
      </c>
      <c r="D41" s="164" t="s">
        <v>213</v>
      </c>
      <c r="E41" s="165">
        <v>263300</v>
      </c>
      <c r="F41" s="165">
        <v>448000</v>
      </c>
      <c r="G41" s="191">
        <v>0</v>
      </c>
      <c r="H41" s="168">
        <f t="shared" si="5"/>
        <v>0</v>
      </c>
      <c r="I41" s="89">
        <v>118</v>
      </c>
      <c r="J41" s="83" t="s">
        <v>183</v>
      </c>
      <c r="K41" s="144">
        <v>118</v>
      </c>
      <c r="L41" s="169">
        <f t="shared" si="0"/>
        <v>0</v>
      </c>
      <c r="M41" s="145">
        <f t="shared" si="6"/>
        <v>448000</v>
      </c>
      <c r="N41" s="170">
        <f t="shared" si="1"/>
        <v>1.7014812001519179</v>
      </c>
      <c r="O41" s="107">
        <f t="shared" si="2"/>
        <v>0.94915254237288138</v>
      </c>
      <c r="P41" s="95">
        <v>472000</v>
      </c>
      <c r="Q41" s="171">
        <v>261800</v>
      </c>
      <c r="R41" s="96">
        <f t="shared" si="3"/>
        <v>1.8029029793735676</v>
      </c>
      <c r="S41" s="95">
        <v>446000</v>
      </c>
      <c r="T41" s="171">
        <v>261800</v>
      </c>
      <c r="U41" s="96">
        <f t="shared" si="4"/>
        <v>1.703590527119939</v>
      </c>
      <c r="V41" s="7" t="s">
        <v>122</v>
      </c>
      <c r="W41" s="7" t="s">
        <v>66</v>
      </c>
      <c r="X41" s="7" t="s">
        <v>280</v>
      </c>
      <c r="Y41" s="7" t="s">
        <v>70</v>
      </c>
      <c r="Z41" s="32"/>
      <c r="AA41" s="62"/>
      <c r="AB41" s="63"/>
    </row>
    <row r="42" spans="1:28" x14ac:dyDescent="0.15">
      <c r="A42" s="82"/>
      <c r="B42" s="162" t="s">
        <v>281</v>
      </c>
      <c r="C42" s="172" t="s">
        <v>282</v>
      </c>
      <c r="D42" s="173" t="s">
        <v>213</v>
      </c>
      <c r="E42" s="165">
        <v>253400</v>
      </c>
      <c r="F42" s="165">
        <v>431000</v>
      </c>
      <c r="G42" s="191">
        <v>0</v>
      </c>
      <c r="H42" s="168">
        <f t="shared" si="5"/>
        <v>0</v>
      </c>
      <c r="I42" s="89">
        <v>113</v>
      </c>
      <c r="J42" s="83" t="s">
        <v>183</v>
      </c>
      <c r="K42" s="144">
        <v>118</v>
      </c>
      <c r="L42" s="169">
        <f t="shared" si="0"/>
        <v>-18200</v>
      </c>
      <c r="M42" s="145">
        <f t="shared" si="6"/>
        <v>412800</v>
      </c>
      <c r="N42" s="170">
        <f t="shared" si="1"/>
        <v>1.6290449881610103</v>
      </c>
      <c r="O42" s="107">
        <f t="shared" si="2"/>
        <v>0.93818181818181823</v>
      </c>
      <c r="P42" s="95">
        <v>440000</v>
      </c>
      <c r="Q42" s="171">
        <v>250200</v>
      </c>
      <c r="R42" s="96">
        <f t="shared" si="3"/>
        <v>1.7585931254996003</v>
      </c>
      <c r="S42" s="95">
        <v>384000</v>
      </c>
      <c r="T42" s="171">
        <v>250200</v>
      </c>
      <c r="U42" s="96">
        <f t="shared" si="4"/>
        <v>1.5347721822541966</v>
      </c>
      <c r="V42" s="7" t="s">
        <v>122</v>
      </c>
      <c r="W42" s="7" t="s">
        <v>66</v>
      </c>
      <c r="X42" s="7" t="s">
        <v>280</v>
      </c>
      <c r="Y42" s="7" t="s">
        <v>70</v>
      </c>
      <c r="Z42" s="32"/>
      <c r="AA42" s="62"/>
      <c r="AB42" s="63"/>
    </row>
    <row r="43" spans="1:28" x14ac:dyDescent="0.15">
      <c r="A43" s="82"/>
      <c r="B43" s="162" t="s">
        <v>283</v>
      </c>
      <c r="C43" s="172" t="s">
        <v>284</v>
      </c>
      <c r="D43" s="173" t="s">
        <v>213</v>
      </c>
      <c r="E43" s="165">
        <v>212800</v>
      </c>
      <c r="F43" s="165">
        <v>362000</v>
      </c>
      <c r="G43" s="191">
        <v>0</v>
      </c>
      <c r="H43" s="168">
        <f t="shared" si="5"/>
        <v>0</v>
      </c>
      <c r="I43" s="89">
        <v>118</v>
      </c>
      <c r="J43" s="83" t="s">
        <v>183</v>
      </c>
      <c r="K43" s="144">
        <v>118</v>
      </c>
      <c r="L43" s="169">
        <f t="shared" si="0"/>
        <v>0</v>
      </c>
      <c r="M43" s="145">
        <f t="shared" si="6"/>
        <v>362000</v>
      </c>
      <c r="N43" s="170">
        <f t="shared" si="1"/>
        <v>1.7011278195488722</v>
      </c>
      <c r="O43" s="107">
        <f t="shared" si="2"/>
        <v>0.93928386092371563</v>
      </c>
      <c r="P43" s="95">
        <v>385400</v>
      </c>
      <c r="Q43" s="171">
        <v>208000</v>
      </c>
      <c r="R43" s="96">
        <f t="shared" si="3"/>
        <v>1.8528846153846155</v>
      </c>
      <c r="S43" s="95">
        <v>364400</v>
      </c>
      <c r="T43" s="171">
        <v>208000</v>
      </c>
      <c r="U43" s="96">
        <f t="shared" si="4"/>
        <v>1.7519230769230769</v>
      </c>
      <c r="V43" s="7" t="s">
        <v>122</v>
      </c>
      <c r="W43" s="7" t="s">
        <v>65</v>
      </c>
      <c r="X43" s="7" t="s">
        <v>275</v>
      </c>
      <c r="Y43" s="7" t="s">
        <v>70</v>
      </c>
      <c r="Z43" s="32"/>
      <c r="AA43" s="62"/>
      <c r="AB43" s="63"/>
    </row>
    <row r="44" spans="1:28" x14ac:dyDescent="0.15">
      <c r="A44" s="82"/>
      <c r="B44" s="162" t="s">
        <v>285</v>
      </c>
      <c r="C44" s="172" t="s">
        <v>286</v>
      </c>
      <c r="D44" s="173" t="s">
        <v>213</v>
      </c>
      <c r="E44" s="165">
        <v>234000</v>
      </c>
      <c r="F44" s="165">
        <v>398000</v>
      </c>
      <c r="G44" s="191">
        <v>0</v>
      </c>
      <c r="H44" s="168">
        <f t="shared" si="5"/>
        <v>0</v>
      </c>
      <c r="I44" s="89">
        <v>118</v>
      </c>
      <c r="J44" s="83" t="s">
        <v>183</v>
      </c>
      <c r="K44" s="144">
        <v>118</v>
      </c>
      <c r="L44" s="169">
        <f t="shared" si="0"/>
        <v>0</v>
      </c>
      <c r="M44" s="145">
        <f t="shared" si="6"/>
        <v>398000</v>
      </c>
      <c r="N44" s="170">
        <f t="shared" si="1"/>
        <v>1.7008547008547008</v>
      </c>
      <c r="O44" s="107">
        <f t="shared" si="2"/>
        <v>0.9375736160188457</v>
      </c>
      <c r="P44" s="95">
        <v>424500</v>
      </c>
      <c r="Q44" s="171">
        <v>229300</v>
      </c>
      <c r="R44" s="96">
        <f t="shared" si="3"/>
        <v>1.8512865242040994</v>
      </c>
      <c r="S44" s="95">
        <v>390000</v>
      </c>
      <c r="T44" s="171">
        <v>229300</v>
      </c>
      <c r="U44" s="96">
        <f t="shared" si="4"/>
        <v>1.70082860880942</v>
      </c>
      <c r="V44" s="7" t="s">
        <v>122</v>
      </c>
      <c r="W44" s="7" t="s">
        <v>65</v>
      </c>
      <c r="X44" s="7" t="s">
        <v>275</v>
      </c>
      <c r="Y44" s="7" t="s">
        <v>70</v>
      </c>
      <c r="Z44" s="32"/>
      <c r="AA44" s="62"/>
      <c r="AB44" s="63"/>
    </row>
    <row r="45" spans="1:28" x14ac:dyDescent="0.15">
      <c r="A45" s="82"/>
      <c r="B45" s="162" t="s">
        <v>287</v>
      </c>
      <c r="C45" s="172" t="s">
        <v>288</v>
      </c>
      <c r="D45" s="173" t="s">
        <v>213</v>
      </c>
      <c r="E45" s="165">
        <v>218700</v>
      </c>
      <c r="F45" s="165">
        <v>372000</v>
      </c>
      <c r="G45" s="191">
        <v>0</v>
      </c>
      <c r="H45" s="168">
        <f t="shared" si="5"/>
        <v>0</v>
      </c>
      <c r="I45" s="89">
        <v>116</v>
      </c>
      <c r="J45" s="83" t="s">
        <v>183</v>
      </c>
      <c r="K45" s="144">
        <v>118</v>
      </c>
      <c r="L45" s="169">
        <f t="shared" si="0"/>
        <v>-6300</v>
      </c>
      <c r="M45" s="145">
        <f t="shared" si="6"/>
        <v>365700</v>
      </c>
      <c r="N45" s="170">
        <f t="shared" si="1"/>
        <v>1.672153635116598</v>
      </c>
      <c r="O45" s="107">
        <f t="shared" si="2"/>
        <v>0.93529411764705883</v>
      </c>
      <c r="P45" s="95">
        <v>391000</v>
      </c>
      <c r="Q45" s="171">
        <v>217100</v>
      </c>
      <c r="R45" s="96">
        <f t="shared" si="3"/>
        <v>1.8010133578995855</v>
      </c>
      <c r="S45" s="95">
        <v>345300</v>
      </c>
      <c r="T45" s="171">
        <v>217100</v>
      </c>
      <c r="U45" s="96">
        <f t="shared" si="4"/>
        <v>1.5905112851220635</v>
      </c>
      <c r="V45" s="7" t="s">
        <v>122</v>
      </c>
      <c r="W45" s="7" t="s">
        <v>62</v>
      </c>
      <c r="X45" s="7" t="s">
        <v>262</v>
      </c>
      <c r="Y45" s="7" t="s">
        <v>70</v>
      </c>
      <c r="Z45" s="32"/>
      <c r="AA45" s="62"/>
      <c r="AB45" s="63"/>
    </row>
    <row r="46" spans="1:28" x14ac:dyDescent="0.15">
      <c r="A46" s="82" t="s">
        <v>316</v>
      </c>
      <c r="B46" s="192" t="s">
        <v>289</v>
      </c>
      <c r="C46" s="172" t="s">
        <v>290</v>
      </c>
      <c r="D46" s="173" t="s">
        <v>213</v>
      </c>
      <c r="E46" s="165">
        <v>249100</v>
      </c>
      <c r="F46" s="165">
        <v>424000</v>
      </c>
      <c r="G46" s="167">
        <v>0.1</v>
      </c>
      <c r="H46" s="168">
        <v>40000</v>
      </c>
      <c r="I46" s="89">
        <v>118</v>
      </c>
      <c r="J46" s="83" t="s">
        <v>183</v>
      </c>
      <c r="K46" s="144">
        <v>118</v>
      </c>
      <c r="L46" s="169">
        <f t="shared" si="0"/>
        <v>0</v>
      </c>
      <c r="M46" s="145">
        <f t="shared" si="6"/>
        <v>464000</v>
      </c>
      <c r="N46" s="170">
        <f t="shared" si="1"/>
        <v>1.8627057406663989</v>
      </c>
      <c r="O46" s="107">
        <f t="shared" si="2"/>
        <v>1.0175438596491229</v>
      </c>
      <c r="P46" s="95">
        <v>456000</v>
      </c>
      <c r="Q46" s="171">
        <v>239600</v>
      </c>
      <c r="R46" s="96">
        <f t="shared" si="3"/>
        <v>1.9031719532554257</v>
      </c>
      <c r="S46" s="95">
        <v>432000</v>
      </c>
      <c r="T46" s="171">
        <v>239600</v>
      </c>
      <c r="U46" s="96">
        <f t="shared" si="4"/>
        <v>1.8030050083472453</v>
      </c>
      <c r="V46" s="7" t="s">
        <v>122</v>
      </c>
      <c r="W46" s="7" t="s">
        <v>62</v>
      </c>
      <c r="X46" s="7" t="s">
        <v>262</v>
      </c>
      <c r="Y46" s="7" t="s">
        <v>70</v>
      </c>
      <c r="Z46" s="32" t="s">
        <v>317</v>
      </c>
      <c r="AA46" s="62"/>
      <c r="AB46" s="63"/>
    </row>
    <row r="47" spans="1:28" x14ac:dyDescent="0.15">
      <c r="A47" s="82" t="s">
        <v>316</v>
      </c>
      <c r="B47" s="193" t="s">
        <v>291</v>
      </c>
      <c r="C47" s="172" t="s">
        <v>292</v>
      </c>
      <c r="D47" s="173" t="s">
        <v>213</v>
      </c>
      <c r="E47" s="165">
        <v>228600</v>
      </c>
      <c r="F47" s="165">
        <v>389000</v>
      </c>
      <c r="G47" s="191">
        <v>0.1</v>
      </c>
      <c r="H47" s="168">
        <v>37900</v>
      </c>
      <c r="I47" s="89">
        <v>118</v>
      </c>
      <c r="J47" s="83" t="s">
        <v>183</v>
      </c>
      <c r="K47" s="144">
        <v>118</v>
      </c>
      <c r="L47" s="169">
        <f t="shared" si="0"/>
        <v>0</v>
      </c>
      <c r="M47" s="145">
        <f t="shared" si="6"/>
        <v>426900</v>
      </c>
      <c r="N47" s="170">
        <f t="shared" si="1"/>
        <v>1.8674540682414698</v>
      </c>
      <c r="O47" s="107">
        <f t="shared" si="2"/>
        <v>1.0161866222328018</v>
      </c>
      <c r="P47" s="95">
        <v>420100</v>
      </c>
      <c r="Q47" s="171">
        <v>220700</v>
      </c>
      <c r="R47" s="96">
        <f t="shared" si="3"/>
        <v>1.9034888989578613</v>
      </c>
      <c r="S47" s="95">
        <v>357900</v>
      </c>
      <c r="T47" s="171">
        <v>198600</v>
      </c>
      <c r="U47" s="96">
        <f t="shared" si="4"/>
        <v>1.8021148036253776</v>
      </c>
      <c r="V47" s="7" t="s">
        <v>122</v>
      </c>
      <c r="W47" s="7" t="s">
        <v>64</v>
      </c>
      <c r="X47" s="7" t="s">
        <v>293</v>
      </c>
      <c r="Y47" s="7" t="s">
        <v>70</v>
      </c>
      <c r="Z47" s="32" t="s">
        <v>317</v>
      </c>
      <c r="AA47" s="62"/>
      <c r="AB47" s="63"/>
    </row>
    <row r="48" spans="1:28" x14ac:dyDescent="0.15">
      <c r="A48" s="82"/>
      <c r="B48" s="162" t="s">
        <v>294</v>
      </c>
      <c r="C48" s="172" t="s">
        <v>295</v>
      </c>
      <c r="D48" s="173" t="s">
        <v>213</v>
      </c>
      <c r="E48" s="165">
        <v>198600</v>
      </c>
      <c r="F48" s="165">
        <v>338000</v>
      </c>
      <c r="G48" s="191">
        <v>0</v>
      </c>
      <c r="H48" s="168">
        <f>ROUNDUP(((E48*G48)/100),0)*100</f>
        <v>0</v>
      </c>
      <c r="I48" s="89">
        <v>118</v>
      </c>
      <c r="J48" s="83" t="s">
        <v>183</v>
      </c>
      <c r="K48" s="144">
        <v>118</v>
      </c>
      <c r="L48" s="169">
        <f t="shared" si="0"/>
        <v>0</v>
      </c>
      <c r="M48" s="145">
        <f t="shared" si="6"/>
        <v>338000</v>
      </c>
      <c r="N48" s="170">
        <f t="shared" si="1"/>
        <v>1.701913393756294</v>
      </c>
      <c r="O48" s="107">
        <f t="shared" si="2"/>
        <v>0.96848137535816614</v>
      </c>
      <c r="P48" s="95">
        <v>349000</v>
      </c>
      <c r="Q48" s="171">
        <v>193800</v>
      </c>
      <c r="R48" s="96">
        <f t="shared" si="3"/>
        <v>1.8008255933952528</v>
      </c>
      <c r="S48" s="95">
        <v>330000</v>
      </c>
      <c r="T48" s="171">
        <v>193800</v>
      </c>
      <c r="U48" s="96">
        <f t="shared" si="4"/>
        <v>1.7027863777089782</v>
      </c>
      <c r="V48" s="7" t="s">
        <v>122</v>
      </c>
      <c r="W48" s="7" t="s">
        <v>65</v>
      </c>
      <c r="X48" s="7" t="s">
        <v>275</v>
      </c>
      <c r="Y48" s="7" t="s">
        <v>70</v>
      </c>
      <c r="Z48" s="32"/>
      <c r="AA48" s="62"/>
      <c r="AB48" s="63"/>
    </row>
    <row r="49" spans="1:28" x14ac:dyDescent="0.15">
      <c r="A49" s="82" t="s">
        <v>316</v>
      </c>
      <c r="B49" s="162" t="s">
        <v>296</v>
      </c>
      <c r="C49" s="172" t="s">
        <v>297</v>
      </c>
      <c r="D49" s="173" t="s">
        <v>213</v>
      </c>
      <c r="E49" s="165">
        <v>225400</v>
      </c>
      <c r="F49" s="165">
        <v>384000</v>
      </c>
      <c r="G49" s="191">
        <v>0</v>
      </c>
      <c r="H49" s="168">
        <v>-20000</v>
      </c>
      <c r="I49" s="89">
        <v>118</v>
      </c>
      <c r="J49" s="83" t="s">
        <v>183</v>
      </c>
      <c r="K49" s="144">
        <v>118</v>
      </c>
      <c r="L49" s="169">
        <f t="shared" si="0"/>
        <v>0</v>
      </c>
      <c r="M49" s="145">
        <f t="shared" si="6"/>
        <v>364000</v>
      </c>
      <c r="N49" s="170">
        <f t="shared" si="1"/>
        <v>1.6149068322981366</v>
      </c>
      <c r="O49" s="107">
        <f t="shared" si="2"/>
        <v>0.914572864321608</v>
      </c>
      <c r="P49" s="95">
        <v>398000</v>
      </c>
      <c r="Q49" s="171">
        <v>220700</v>
      </c>
      <c r="R49" s="96">
        <f t="shared" si="3"/>
        <v>1.8033529678296329</v>
      </c>
      <c r="S49" s="95">
        <v>376000</v>
      </c>
      <c r="T49" s="171">
        <v>220700</v>
      </c>
      <c r="U49" s="96">
        <f t="shared" si="4"/>
        <v>1.7036701404621659</v>
      </c>
      <c r="V49" s="7" t="s">
        <v>122</v>
      </c>
      <c r="W49" s="7" t="s">
        <v>62</v>
      </c>
      <c r="X49" s="7" t="s">
        <v>262</v>
      </c>
      <c r="Y49" s="7" t="s">
        <v>70</v>
      </c>
      <c r="Z49" s="32" t="s">
        <v>317</v>
      </c>
      <c r="AA49" s="62"/>
      <c r="AB49" s="63"/>
    </row>
    <row r="50" spans="1:28" x14ac:dyDescent="0.15">
      <c r="A50" s="82"/>
      <c r="B50" s="162" t="s">
        <v>298</v>
      </c>
      <c r="C50" s="172" t="s">
        <v>299</v>
      </c>
      <c r="D50" s="173" t="s">
        <v>213</v>
      </c>
      <c r="E50" s="165">
        <v>222300</v>
      </c>
      <c r="F50" s="165">
        <v>378000</v>
      </c>
      <c r="G50" s="191">
        <v>0</v>
      </c>
      <c r="H50" s="168">
        <f>ROUNDUP(((E50*G50)/100),0)*100</f>
        <v>0</v>
      </c>
      <c r="I50" s="89">
        <v>118</v>
      </c>
      <c r="J50" s="83" t="s">
        <v>183</v>
      </c>
      <c r="K50" s="144">
        <v>118</v>
      </c>
      <c r="L50" s="169">
        <f t="shared" si="0"/>
        <v>0</v>
      </c>
      <c r="M50" s="145">
        <f t="shared" si="6"/>
        <v>378000</v>
      </c>
      <c r="N50" s="170">
        <f t="shared" si="1"/>
        <v>1.7004048582995952</v>
      </c>
      <c r="O50" s="107">
        <f t="shared" si="2"/>
        <v>0.9642857142857143</v>
      </c>
      <c r="P50" s="95">
        <v>392000</v>
      </c>
      <c r="Q50" s="171">
        <v>217500</v>
      </c>
      <c r="R50" s="96">
        <f t="shared" si="3"/>
        <v>1.8022988505747126</v>
      </c>
      <c r="S50" s="95">
        <v>370000</v>
      </c>
      <c r="T50" s="171">
        <v>217500</v>
      </c>
      <c r="U50" s="96">
        <f t="shared" si="4"/>
        <v>1.7011494252873562</v>
      </c>
      <c r="V50" s="7" t="s">
        <v>122</v>
      </c>
      <c r="W50" s="7" t="s">
        <v>64</v>
      </c>
      <c r="X50" s="7" t="s">
        <v>293</v>
      </c>
      <c r="Y50" s="7" t="s">
        <v>70</v>
      </c>
      <c r="Z50" s="32"/>
      <c r="AA50" s="62"/>
      <c r="AB50" s="63"/>
    </row>
    <row r="51" spans="1:28" x14ac:dyDescent="0.15">
      <c r="A51" s="82" t="s">
        <v>316</v>
      </c>
      <c r="B51" s="162" t="s">
        <v>300</v>
      </c>
      <c r="C51" s="172" t="s">
        <v>301</v>
      </c>
      <c r="D51" s="173" t="s">
        <v>213</v>
      </c>
      <c r="E51" s="165">
        <v>274800</v>
      </c>
      <c r="F51" s="165">
        <v>468000</v>
      </c>
      <c r="G51" s="191">
        <v>-0.05</v>
      </c>
      <c r="H51" s="168">
        <v>-12000</v>
      </c>
      <c r="I51" s="89">
        <v>118</v>
      </c>
      <c r="J51" s="83" t="s">
        <v>183</v>
      </c>
      <c r="K51" s="144">
        <v>118</v>
      </c>
      <c r="L51" s="169">
        <f t="shared" si="0"/>
        <v>0</v>
      </c>
      <c r="M51" s="145">
        <f t="shared" si="6"/>
        <v>456000</v>
      </c>
      <c r="N51" s="170">
        <f t="shared" si="1"/>
        <v>1.6593886462882097</v>
      </c>
      <c r="O51" s="107">
        <f t="shared" si="2"/>
        <v>0.95337654191929755</v>
      </c>
      <c r="P51" s="95">
        <v>478300</v>
      </c>
      <c r="Q51" s="171">
        <v>273200</v>
      </c>
      <c r="R51" s="96">
        <f t="shared" si="3"/>
        <v>1.7507320644216691</v>
      </c>
      <c r="S51" s="95">
        <v>465000</v>
      </c>
      <c r="T51" s="171">
        <v>273200</v>
      </c>
      <c r="U51" s="96">
        <f t="shared" si="4"/>
        <v>1.7020497803806736</v>
      </c>
      <c r="V51" s="7" t="s">
        <v>122</v>
      </c>
      <c r="W51" s="7" t="s">
        <v>63</v>
      </c>
      <c r="X51" s="7" t="s">
        <v>265</v>
      </c>
      <c r="Y51" s="7" t="s">
        <v>70</v>
      </c>
      <c r="Z51" s="32" t="s">
        <v>317</v>
      </c>
      <c r="AA51" s="62"/>
      <c r="AB51" s="63"/>
    </row>
    <row r="52" spans="1:28" x14ac:dyDescent="0.15">
      <c r="A52" s="82"/>
      <c r="B52" s="162" t="s">
        <v>302</v>
      </c>
      <c r="C52" s="163" t="s">
        <v>303</v>
      </c>
      <c r="D52" s="164" t="s">
        <v>213</v>
      </c>
      <c r="E52" s="165">
        <v>197000</v>
      </c>
      <c r="F52" s="165">
        <v>335000</v>
      </c>
      <c r="G52" s="191">
        <v>0.05</v>
      </c>
      <c r="H52" s="168">
        <f>ROUNDUP(((E52*G52)/100),0)*100</f>
        <v>9900</v>
      </c>
      <c r="I52" s="89">
        <v>118</v>
      </c>
      <c r="J52" s="83" t="s">
        <v>183</v>
      </c>
      <c r="K52" s="144">
        <v>118</v>
      </c>
      <c r="L52" s="169">
        <f t="shared" si="0"/>
        <v>0</v>
      </c>
      <c r="M52" s="145">
        <f t="shared" si="6"/>
        <v>344900</v>
      </c>
      <c r="N52" s="170">
        <f t="shared" si="1"/>
        <v>1.7507614213197971</v>
      </c>
      <c r="O52" s="107">
        <f t="shared" si="2"/>
        <v>0.95805555555555555</v>
      </c>
      <c r="P52" s="95">
        <v>360000</v>
      </c>
      <c r="Q52" s="171">
        <v>189100</v>
      </c>
      <c r="R52" s="96">
        <f t="shared" si="3"/>
        <v>1.9037546271813854</v>
      </c>
      <c r="S52" s="95">
        <v>322000</v>
      </c>
      <c r="T52" s="171">
        <v>189100</v>
      </c>
      <c r="U52" s="96">
        <f t="shared" si="4"/>
        <v>1.7028027498677949</v>
      </c>
      <c r="V52" s="7" t="s">
        <v>122</v>
      </c>
      <c r="W52" s="7" t="s">
        <v>62</v>
      </c>
      <c r="X52" s="7" t="s">
        <v>262</v>
      </c>
      <c r="Y52" s="7" t="s">
        <v>70</v>
      </c>
      <c r="Z52" s="32"/>
      <c r="AA52" s="62"/>
      <c r="AB52" s="63"/>
    </row>
    <row r="53" spans="1:28" x14ac:dyDescent="0.15">
      <c r="A53" s="82"/>
      <c r="B53" s="162" t="s">
        <v>304</v>
      </c>
      <c r="C53" s="172" t="s">
        <v>305</v>
      </c>
      <c r="D53" s="173" t="s">
        <v>213</v>
      </c>
      <c r="E53" s="165">
        <v>193800</v>
      </c>
      <c r="F53" s="165">
        <v>330000</v>
      </c>
      <c r="G53" s="191">
        <v>0.05</v>
      </c>
      <c r="H53" s="168">
        <f>ROUNDUP(((E53*G53)/100),0)*100</f>
        <v>9700</v>
      </c>
      <c r="I53" s="89">
        <v>118</v>
      </c>
      <c r="J53" s="83" t="s">
        <v>183</v>
      </c>
      <c r="K53" s="144">
        <v>118</v>
      </c>
      <c r="L53" s="169">
        <f t="shared" si="0"/>
        <v>0</v>
      </c>
      <c r="M53" s="145">
        <f t="shared" si="6"/>
        <v>339700</v>
      </c>
      <c r="N53" s="170">
        <f t="shared" si="1"/>
        <v>1.7528379772961817</v>
      </c>
      <c r="O53" s="107">
        <f t="shared" si="2"/>
        <v>0.99531204219162028</v>
      </c>
      <c r="P53" s="95">
        <v>341300</v>
      </c>
      <c r="Q53" s="171">
        <v>190700</v>
      </c>
      <c r="R53" s="96">
        <f t="shared" si="3"/>
        <v>1.7897220765600419</v>
      </c>
      <c r="S53" s="95">
        <v>20000</v>
      </c>
      <c r="T53" s="171">
        <v>190700</v>
      </c>
      <c r="U53" s="96">
        <f t="shared" si="4"/>
        <v>0.10487676979549029</v>
      </c>
      <c r="V53" s="7" t="s">
        <v>122</v>
      </c>
      <c r="W53" s="7" t="s">
        <v>67</v>
      </c>
      <c r="X53" s="7" t="s">
        <v>306</v>
      </c>
      <c r="Y53" s="7" t="s">
        <v>70</v>
      </c>
      <c r="Z53" s="32"/>
      <c r="AA53" s="62"/>
      <c r="AB53" s="63"/>
    </row>
    <row r="54" spans="1:28" x14ac:dyDescent="0.15">
      <c r="A54" s="82" t="s">
        <v>316</v>
      </c>
      <c r="B54" s="192" t="s">
        <v>307</v>
      </c>
      <c r="C54" s="172" t="s">
        <v>308</v>
      </c>
      <c r="D54" s="173" t="s">
        <v>212</v>
      </c>
      <c r="E54" s="165">
        <v>183000</v>
      </c>
      <c r="F54" s="165">
        <v>312000</v>
      </c>
      <c r="G54" s="191">
        <v>-0.05</v>
      </c>
      <c r="H54" s="168">
        <v>-12000</v>
      </c>
      <c r="I54" s="89">
        <v>118</v>
      </c>
      <c r="J54" s="83" t="s">
        <v>183</v>
      </c>
      <c r="K54" s="144">
        <v>118</v>
      </c>
      <c r="L54" s="169">
        <f t="shared" si="0"/>
        <v>0</v>
      </c>
      <c r="M54" s="145">
        <v>300000</v>
      </c>
      <c r="N54" s="170">
        <f t="shared" si="1"/>
        <v>1.639344262295082</v>
      </c>
      <c r="O54" s="107">
        <f t="shared" si="2"/>
        <v>0.94966761633428298</v>
      </c>
      <c r="P54" s="95">
        <v>315900</v>
      </c>
      <c r="Q54" s="171">
        <v>180500</v>
      </c>
      <c r="R54" s="96">
        <f t="shared" si="3"/>
        <v>1.7501385041551247</v>
      </c>
      <c r="S54" s="95">
        <v>29000</v>
      </c>
      <c r="T54" s="171">
        <v>142500</v>
      </c>
      <c r="U54" s="96">
        <f t="shared" si="4"/>
        <v>0.20350877192982456</v>
      </c>
      <c r="V54" s="7" t="s">
        <v>122</v>
      </c>
      <c r="W54" s="7" t="s">
        <v>63</v>
      </c>
      <c r="X54" s="7" t="s">
        <v>265</v>
      </c>
      <c r="Y54" s="7" t="s">
        <v>70</v>
      </c>
      <c r="Z54" s="7" t="s">
        <v>317</v>
      </c>
      <c r="AA54" s="62"/>
      <c r="AB54" s="63"/>
    </row>
    <row r="55" spans="1:28" x14ac:dyDescent="0.15">
      <c r="A55" s="82"/>
      <c r="B55" s="162" t="s">
        <v>309</v>
      </c>
      <c r="C55" s="172" t="s">
        <v>310</v>
      </c>
      <c r="D55" s="173" t="s">
        <v>212</v>
      </c>
      <c r="E55" s="165">
        <v>209400</v>
      </c>
      <c r="F55" s="165">
        <v>356000</v>
      </c>
      <c r="G55" s="191">
        <v>-0.05</v>
      </c>
      <c r="H55" s="168">
        <f>ROUNDUP(((E55*G55)/100),0)*100</f>
        <v>-10500</v>
      </c>
      <c r="I55" s="89">
        <v>118</v>
      </c>
      <c r="J55" s="83" t="s">
        <v>183</v>
      </c>
      <c r="K55" s="144">
        <v>118</v>
      </c>
      <c r="L55" s="169">
        <f t="shared" si="0"/>
        <v>0</v>
      </c>
      <c r="M55" s="145">
        <f>IF(K55=0,F55+H55,IF(K55="","",ROUNDUP((((F55+H55)*I55)/K55)/100,0)*100))</f>
        <v>345500</v>
      </c>
      <c r="N55" s="170">
        <f t="shared" si="1"/>
        <v>1.6499522445081185</v>
      </c>
      <c r="O55" s="107">
        <f t="shared" si="2"/>
        <v>0.92627345844504017</v>
      </c>
      <c r="P55" s="95">
        <v>373000</v>
      </c>
      <c r="Q55" s="171">
        <v>206900</v>
      </c>
      <c r="R55" s="96">
        <f t="shared" si="3"/>
        <v>1.8028032866118897</v>
      </c>
      <c r="S55" s="95">
        <v>341600</v>
      </c>
      <c r="T55" s="171">
        <v>206900</v>
      </c>
      <c r="U55" s="96">
        <f t="shared" si="4"/>
        <v>1.6510391493475109</v>
      </c>
      <c r="V55" s="7" t="s">
        <v>122</v>
      </c>
      <c r="W55" s="7" t="s">
        <v>62</v>
      </c>
      <c r="X55" s="7" t="s">
        <v>262</v>
      </c>
      <c r="Y55" s="7" t="s">
        <v>70</v>
      </c>
      <c r="Z55" s="7"/>
      <c r="AA55" s="62"/>
      <c r="AB55" s="63"/>
    </row>
    <row r="56" spans="1:28" x14ac:dyDescent="0.15">
      <c r="A56" s="82" t="s">
        <v>316</v>
      </c>
      <c r="B56" s="162" t="s">
        <v>311</v>
      </c>
      <c r="C56" s="172" t="s">
        <v>312</v>
      </c>
      <c r="D56" s="173" t="s">
        <v>212</v>
      </c>
      <c r="E56" s="165">
        <v>200600</v>
      </c>
      <c r="F56" s="165">
        <v>342000</v>
      </c>
      <c r="G56" s="191">
        <v>0.05</v>
      </c>
      <c r="H56" s="168">
        <v>25000</v>
      </c>
      <c r="I56" s="89">
        <v>118</v>
      </c>
      <c r="J56" s="83" t="s">
        <v>183</v>
      </c>
      <c r="K56" s="144">
        <v>118</v>
      </c>
      <c r="L56" s="169">
        <f t="shared" si="0"/>
        <v>0</v>
      </c>
      <c r="M56" s="145">
        <f>IF(K56=0,F56+H56,IF(K56="","",ROUNDUP((((F56+H56)*I56)/K56)/100,0)*100))</f>
        <v>367000</v>
      </c>
      <c r="N56" s="170">
        <f t="shared" si="1"/>
        <v>1.8295114656031903</v>
      </c>
      <c r="O56" s="107">
        <f t="shared" si="2"/>
        <v>1.0259994408722393</v>
      </c>
      <c r="P56" s="95">
        <v>357700</v>
      </c>
      <c r="Q56" s="171">
        <v>193100</v>
      </c>
      <c r="R56" s="96">
        <f t="shared" si="3"/>
        <v>1.8524080787156914</v>
      </c>
      <c r="S56" s="95">
        <v>329000</v>
      </c>
      <c r="T56" s="171">
        <v>193100</v>
      </c>
      <c r="U56" s="96">
        <f t="shared" si="4"/>
        <v>1.7037804246504402</v>
      </c>
      <c r="V56" s="7" t="s">
        <v>122</v>
      </c>
      <c r="W56" s="7" t="s">
        <v>62</v>
      </c>
      <c r="X56" s="7" t="s">
        <v>262</v>
      </c>
      <c r="Y56" s="7" t="s">
        <v>70</v>
      </c>
      <c r="Z56" s="7" t="s">
        <v>317</v>
      </c>
      <c r="AA56" s="62"/>
      <c r="AB56" s="63"/>
    </row>
    <row r="57" spans="1:28" x14ac:dyDescent="0.15">
      <c r="A57" s="82"/>
      <c r="B57" s="193"/>
      <c r="C57" s="172"/>
      <c r="D57" s="173"/>
      <c r="E57" s="165"/>
      <c r="F57" s="165"/>
      <c r="G57" s="191"/>
      <c r="H57" s="168"/>
      <c r="I57" s="89"/>
      <c r="J57" s="83"/>
      <c r="K57" s="144"/>
      <c r="L57" s="169"/>
      <c r="M57" s="145"/>
      <c r="N57" s="170"/>
      <c r="O57" s="107"/>
      <c r="P57" s="95"/>
      <c r="Q57" s="171"/>
      <c r="R57" s="96"/>
      <c r="S57" s="95"/>
      <c r="T57" s="171"/>
      <c r="U57" s="96"/>
      <c r="Z57" s="7"/>
      <c r="AA57" s="62"/>
      <c r="AB57" s="63"/>
    </row>
    <row r="58" spans="1:28" ht="14.25" thickBot="1" x14ac:dyDescent="0.2">
      <c r="A58" s="127"/>
      <c r="B58" s="174"/>
      <c r="C58" s="206" t="s">
        <v>218</v>
      </c>
      <c r="D58" s="207"/>
      <c r="E58" s="177">
        <f>SUM(E33:E56)</f>
        <v>6153900</v>
      </c>
      <c r="F58" s="177">
        <f>SUM(F33:F56)</f>
        <v>10472000</v>
      </c>
      <c r="G58" s="194"/>
      <c r="H58" s="179">
        <f>SUM(H33:H56)</f>
        <v>92000</v>
      </c>
      <c r="I58" s="128"/>
      <c r="J58" s="129"/>
      <c r="K58" s="151"/>
      <c r="L58" s="180"/>
      <c r="M58" s="150">
        <f>SUM(M33:M56)</f>
        <v>10539500</v>
      </c>
      <c r="N58" s="181">
        <f>IF(M58="","",M58/E58)</f>
        <v>1.7126537642795625</v>
      </c>
      <c r="O58" s="141">
        <f>IF(P58=0,0,M58/P58)</f>
        <v>0.9688999613892515</v>
      </c>
      <c r="P58" s="130">
        <v>10877800</v>
      </c>
      <c r="Q58" s="182">
        <v>6027400</v>
      </c>
      <c r="R58" s="131">
        <f>IF(P58=0,"",P58/Q58)</f>
        <v>1.8047250887613233</v>
      </c>
      <c r="S58" s="130">
        <v>9562500</v>
      </c>
      <c r="T58" s="182">
        <v>5935000</v>
      </c>
      <c r="U58" s="131">
        <f>IF(S58=0,"",S58/T58)</f>
        <v>1.6112047177759057</v>
      </c>
      <c r="Z58" s="7"/>
      <c r="AA58" s="62"/>
      <c r="AB58" s="63"/>
    </row>
    <row r="59" spans="1:28" ht="14.25" thickTop="1" x14ac:dyDescent="0.15">
      <c r="A59" s="122"/>
      <c r="B59" s="195"/>
      <c r="C59" s="183"/>
      <c r="D59" s="184"/>
      <c r="E59" s="185"/>
      <c r="F59" s="185"/>
      <c r="G59" s="196"/>
      <c r="H59" s="187"/>
      <c r="I59" s="123"/>
      <c r="J59" s="124"/>
      <c r="K59" s="152"/>
      <c r="L59" s="188"/>
      <c r="M59" s="149"/>
      <c r="N59" s="189"/>
      <c r="O59" s="140"/>
      <c r="P59" s="125"/>
      <c r="Q59" s="190"/>
      <c r="R59" s="126"/>
      <c r="S59" s="125"/>
      <c r="T59" s="190"/>
      <c r="U59" s="126"/>
      <c r="Z59" s="7"/>
      <c r="AA59" s="62"/>
      <c r="AB59" s="63"/>
    </row>
    <row r="60" spans="1:28" x14ac:dyDescent="0.15">
      <c r="A60" s="82" t="s">
        <v>313</v>
      </c>
      <c r="B60" s="162"/>
      <c r="C60" s="172"/>
      <c r="D60" s="173"/>
      <c r="E60" s="165"/>
      <c r="F60" s="165" t="s">
        <v>216</v>
      </c>
      <c r="G60" s="191"/>
      <c r="H60" s="168"/>
      <c r="I60" s="89"/>
      <c r="J60" s="83"/>
      <c r="K60" s="144"/>
      <c r="L60" s="169"/>
      <c r="M60" s="145"/>
      <c r="N60" s="170"/>
      <c r="O60" s="107"/>
      <c r="P60" s="95"/>
      <c r="Q60" s="171"/>
      <c r="R60" s="96"/>
      <c r="S60" s="95"/>
      <c r="T60" s="171"/>
      <c r="U60" s="96"/>
      <c r="Z60" s="7"/>
      <c r="AA60" s="62"/>
      <c r="AB60" s="63"/>
    </row>
    <row r="61" spans="1:28" x14ac:dyDescent="0.15">
      <c r="A61" s="82" t="s">
        <v>316</v>
      </c>
      <c r="B61" s="162" t="s">
        <v>314</v>
      </c>
      <c r="C61" s="172" t="s">
        <v>315</v>
      </c>
      <c r="D61" s="173" t="s">
        <v>213</v>
      </c>
      <c r="E61" s="165">
        <v>200100</v>
      </c>
      <c r="F61" s="165">
        <v>41000</v>
      </c>
      <c r="G61" s="191">
        <v>0</v>
      </c>
      <c r="H61" s="168">
        <v>0</v>
      </c>
      <c r="I61" s="89"/>
      <c r="J61" s="83" t="s">
        <v>183</v>
      </c>
      <c r="K61" s="144"/>
      <c r="L61" s="169">
        <f>IF(M61="","",M61-(F61+H61))</f>
        <v>-21000</v>
      </c>
      <c r="M61" s="145">
        <v>20000</v>
      </c>
      <c r="N61" s="170">
        <f>IF(M61="","",M61/E61)</f>
        <v>9.9950024987506242E-2</v>
      </c>
      <c r="O61" s="107"/>
      <c r="P61" s="95"/>
      <c r="Q61" s="171"/>
      <c r="R61" s="96"/>
      <c r="S61" s="95"/>
      <c r="T61" s="171"/>
      <c r="U61" s="96"/>
      <c r="V61" s="7" t="s">
        <v>122</v>
      </c>
      <c r="W61" s="7" t="s">
        <v>64</v>
      </c>
      <c r="X61" s="7" t="s">
        <v>293</v>
      </c>
      <c r="Y61" s="7" t="s">
        <v>317</v>
      </c>
      <c r="Z61" s="7" t="s">
        <v>317</v>
      </c>
      <c r="AA61" s="62"/>
      <c r="AB61" s="63"/>
    </row>
    <row r="62" spans="1:28" x14ac:dyDescent="0.15">
      <c r="A62" s="82" t="s">
        <v>316</v>
      </c>
      <c r="B62" s="162" t="s">
        <v>318</v>
      </c>
      <c r="C62" s="172" t="s">
        <v>319</v>
      </c>
      <c r="D62" s="173" t="s">
        <v>213</v>
      </c>
      <c r="E62" s="165">
        <v>208800</v>
      </c>
      <c r="F62" s="165">
        <v>42000</v>
      </c>
      <c r="G62" s="191">
        <v>0</v>
      </c>
      <c r="H62" s="168">
        <v>0</v>
      </c>
      <c r="I62" s="89"/>
      <c r="J62" s="83" t="s">
        <v>183</v>
      </c>
      <c r="K62" s="144"/>
      <c r="L62" s="169">
        <f>IF(M62="","",M62-(F62+H62))</f>
        <v>-22000</v>
      </c>
      <c r="M62" s="145">
        <v>20000</v>
      </c>
      <c r="N62" s="170">
        <f>IF(M62="","",M62/E62)</f>
        <v>9.5785440613026823E-2</v>
      </c>
      <c r="O62" s="107"/>
      <c r="P62" s="95"/>
      <c r="Q62" s="171"/>
      <c r="R62" s="96"/>
      <c r="S62" s="95"/>
      <c r="T62" s="171"/>
      <c r="U62" s="96"/>
      <c r="V62" s="7" t="s">
        <v>122</v>
      </c>
      <c r="W62" s="7" t="s">
        <v>64</v>
      </c>
      <c r="X62" s="7" t="s">
        <v>293</v>
      </c>
      <c r="Y62" s="7" t="s">
        <v>317</v>
      </c>
      <c r="Z62" s="7" t="s">
        <v>317</v>
      </c>
      <c r="AA62" s="62"/>
      <c r="AB62" s="63"/>
    </row>
    <row r="63" spans="1:28" x14ac:dyDescent="0.15">
      <c r="A63" s="82" t="s">
        <v>316</v>
      </c>
      <c r="B63" s="162" t="s">
        <v>320</v>
      </c>
      <c r="C63" s="172" t="s">
        <v>321</v>
      </c>
      <c r="D63" s="173" t="s">
        <v>212</v>
      </c>
      <c r="E63" s="165">
        <v>200600</v>
      </c>
      <c r="F63" s="165">
        <v>41000</v>
      </c>
      <c r="G63" s="191">
        <v>0</v>
      </c>
      <c r="H63" s="168">
        <v>0</v>
      </c>
      <c r="I63" s="89"/>
      <c r="J63" s="83" t="s">
        <v>183</v>
      </c>
      <c r="K63" s="144"/>
      <c r="L63" s="169">
        <f>IF(M63="","",M63-(F63+H63))</f>
        <v>-21000</v>
      </c>
      <c r="M63" s="145">
        <v>20000</v>
      </c>
      <c r="N63" s="170">
        <f>IF(M63="","",M63/E63)</f>
        <v>9.970089730807577E-2</v>
      </c>
      <c r="O63" s="107"/>
      <c r="P63" s="95"/>
      <c r="Q63" s="171"/>
      <c r="R63" s="96"/>
      <c r="S63" s="95"/>
      <c r="T63" s="171"/>
      <c r="U63" s="96"/>
      <c r="V63" s="7" t="s">
        <v>122</v>
      </c>
      <c r="W63" s="7" t="s">
        <v>63</v>
      </c>
      <c r="X63" s="7" t="s">
        <v>265</v>
      </c>
      <c r="Y63" s="7" t="s">
        <v>317</v>
      </c>
      <c r="Z63" s="32" t="s">
        <v>317</v>
      </c>
      <c r="AA63" s="62"/>
      <c r="AB63" s="63"/>
    </row>
    <row r="64" spans="1:28" x14ac:dyDescent="0.15">
      <c r="A64" s="82"/>
      <c r="B64" s="162"/>
      <c r="C64" s="172"/>
      <c r="D64" s="173"/>
      <c r="E64" s="165"/>
      <c r="F64" s="165"/>
      <c r="G64" s="191"/>
      <c r="H64" s="168"/>
      <c r="I64" s="89"/>
      <c r="J64" s="83"/>
      <c r="K64" s="144"/>
      <c r="L64" s="169"/>
      <c r="M64" s="145"/>
      <c r="N64" s="170"/>
      <c r="O64" s="107"/>
      <c r="P64" s="95"/>
      <c r="Q64" s="171"/>
      <c r="R64" s="96"/>
      <c r="S64" s="95"/>
      <c r="T64" s="171"/>
      <c r="U64" s="96"/>
      <c r="Z64" s="32"/>
      <c r="AA64" s="62"/>
      <c r="AB64" s="63"/>
    </row>
    <row r="65" spans="1:28" ht="14.25" thickBot="1" x14ac:dyDescent="0.2">
      <c r="A65" s="127"/>
      <c r="B65" s="174"/>
      <c r="C65" s="175" t="s">
        <v>322</v>
      </c>
      <c r="D65" s="176"/>
      <c r="E65" s="177">
        <v>609500</v>
      </c>
      <c r="F65" s="177">
        <v>124000</v>
      </c>
      <c r="G65" s="194"/>
      <c r="H65" s="179">
        <v>0</v>
      </c>
      <c r="I65" s="128"/>
      <c r="J65" s="129"/>
      <c r="K65" s="151"/>
      <c r="L65" s="180"/>
      <c r="M65" s="150">
        <v>60000</v>
      </c>
      <c r="N65" s="181">
        <f>IF(M65="","",M65/E65)</f>
        <v>9.844134536505332E-2</v>
      </c>
      <c r="O65" s="141">
        <f>IF(P65=0,0,M65/P65)</f>
        <v>0</v>
      </c>
      <c r="P65" s="130">
        <v>0</v>
      </c>
      <c r="Q65" s="182">
        <v>0</v>
      </c>
      <c r="R65" s="131" t="str">
        <f>IF(P65=0,"",P65/Q65)</f>
        <v/>
      </c>
      <c r="S65" s="130">
        <v>0</v>
      </c>
      <c r="T65" s="182">
        <v>0</v>
      </c>
      <c r="U65" s="131" t="str">
        <f>IF(S65=0,"",S65/T65)</f>
        <v/>
      </c>
      <c r="Z65" s="32"/>
      <c r="AA65" s="62"/>
      <c r="AB65" s="63"/>
    </row>
    <row r="66" spans="1:28" ht="14.25" thickTop="1" x14ac:dyDescent="0.15">
      <c r="A66" s="122"/>
      <c r="B66" s="195"/>
      <c r="C66" s="183"/>
      <c r="D66" s="184"/>
      <c r="E66" s="185"/>
      <c r="F66" s="185"/>
      <c r="G66" s="196"/>
      <c r="H66" s="187"/>
      <c r="I66" s="123"/>
      <c r="J66" s="124"/>
      <c r="K66" s="152"/>
      <c r="L66" s="188"/>
      <c r="M66" s="149"/>
      <c r="N66" s="189"/>
      <c r="O66" s="140"/>
      <c r="P66" s="125"/>
      <c r="Q66" s="190"/>
      <c r="R66" s="126"/>
      <c r="S66" s="125"/>
      <c r="T66" s="190"/>
      <c r="U66" s="126"/>
      <c r="Z66" s="7"/>
    </row>
    <row r="67" spans="1:28" x14ac:dyDescent="0.15">
      <c r="A67" s="82" t="s">
        <v>217</v>
      </c>
      <c r="B67" s="162"/>
      <c r="C67" s="172"/>
      <c r="D67" s="173"/>
      <c r="E67" s="165"/>
      <c r="F67" s="165" t="s">
        <v>216</v>
      </c>
      <c r="G67" s="191"/>
      <c r="H67" s="168"/>
      <c r="I67" s="89"/>
      <c r="J67" s="83"/>
      <c r="K67" s="144"/>
      <c r="L67" s="169"/>
      <c r="M67" s="145"/>
      <c r="N67" s="170"/>
      <c r="O67" s="107"/>
      <c r="P67" s="95"/>
      <c r="Q67" s="171"/>
      <c r="R67" s="96"/>
      <c r="S67" s="95"/>
      <c r="T67" s="171"/>
      <c r="U67" s="96"/>
      <c r="Z67" s="7"/>
    </row>
    <row r="68" spans="1:28" x14ac:dyDescent="0.15">
      <c r="A68" s="82"/>
      <c r="B68" s="162" t="s">
        <v>323</v>
      </c>
      <c r="C68" s="172" t="s">
        <v>324</v>
      </c>
      <c r="D68" s="173" t="s">
        <v>212</v>
      </c>
      <c r="E68" s="165">
        <v>168000</v>
      </c>
      <c r="F68" s="165">
        <v>34000</v>
      </c>
      <c r="G68" s="191">
        <v>0</v>
      </c>
      <c r="H68" s="169">
        <f t="shared" ref="H68:H75" si="7">ROUNDUP(((E68*G68)/100),0)*100</f>
        <v>0</v>
      </c>
      <c r="I68" s="89">
        <v>885</v>
      </c>
      <c r="J68" s="83" t="s">
        <v>183</v>
      </c>
      <c r="K68" s="144">
        <v>885</v>
      </c>
      <c r="L68" s="169">
        <f t="shared" ref="L68:L75" si="8">IF(M68="","",M68-(F68+H68))</f>
        <v>0</v>
      </c>
      <c r="M68" s="145">
        <f t="shared" ref="M68:M75" si="9">IF(K68=0,F68+H68,IF(K68="","",ROUNDUP((((F68+H68)*I68)/K68)/100,0)*100))</f>
        <v>34000</v>
      </c>
      <c r="N68" s="170">
        <f t="shared" ref="N68:N75" si="10">IF(M68="","",M68/E68)</f>
        <v>0.20238095238095238</v>
      </c>
      <c r="O68" s="107">
        <f t="shared" ref="O68:O74" si="11">IF(P68=0,0,M68/P68)</f>
        <v>1</v>
      </c>
      <c r="P68" s="95">
        <v>34000</v>
      </c>
      <c r="Q68" s="171">
        <v>168000</v>
      </c>
      <c r="R68" s="96">
        <f t="shared" ref="R68:R74" si="12">IF(P68=0,0,P68/Q68)</f>
        <v>0.20238095238095238</v>
      </c>
      <c r="S68" s="95">
        <v>42400</v>
      </c>
      <c r="T68" s="171">
        <v>168000</v>
      </c>
      <c r="U68" s="96">
        <f t="shared" ref="U68:U74" si="13">IF(S68=0,0,S68/T68)</f>
        <v>0.25238095238095237</v>
      </c>
      <c r="V68" s="7" t="s">
        <v>122</v>
      </c>
      <c r="W68" s="7" t="s">
        <v>63</v>
      </c>
      <c r="X68" s="7" t="s">
        <v>265</v>
      </c>
      <c r="Y68" s="7" t="s">
        <v>163</v>
      </c>
      <c r="Z68" s="7"/>
    </row>
    <row r="69" spans="1:28" x14ac:dyDescent="0.15">
      <c r="A69" s="82"/>
      <c r="B69" s="162" t="s">
        <v>325</v>
      </c>
      <c r="C69" s="163" t="s">
        <v>326</v>
      </c>
      <c r="D69" s="164" t="s">
        <v>212</v>
      </c>
      <c r="E69" s="165">
        <v>157500</v>
      </c>
      <c r="F69" s="165">
        <v>32000</v>
      </c>
      <c r="G69" s="191">
        <v>0</v>
      </c>
      <c r="H69" s="169">
        <f t="shared" si="7"/>
        <v>0</v>
      </c>
      <c r="I69" s="89">
        <v>885</v>
      </c>
      <c r="J69" s="83" t="s">
        <v>183</v>
      </c>
      <c r="K69" s="144">
        <v>885</v>
      </c>
      <c r="L69" s="169">
        <f t="shared" si="8"/>
        <v>0</v>
      </c>
      <c r="M69" s="145">
        <f t="shared" si="9"/>
        <v>32000</v>
      </c>
      <c r="N69" s="170">
        <f t="shared" si="10"/>
        <v>0.20317460317460317</v>
      </c>
      <c r="O69" s="107">
        <f t="shared" si="11"/>
        <v>1</v>
      </c>
      <c r="P69" s="95">
        <v>32000</v>
      </c>
      <c r="Q69" s="171">
        <v>157500</v>
      </c>
      <c r="R69" s="96">
        <f t="shared" si="12"/>
        <v>0.20317460317460317</v>
      </c>
      <c r="S69" s="95">
        <v>32000</v>
      </c>
      <c r="T69" s="171">
        <v>157500</v>
      </c>
      <c r="U69" s="96">
        <f t="shared" si="13"/>
        <v>0.20317460317460317</v>
      </c>
      <c r="V69" s="7" t="s">
        <v>122</v>
      </c>
      <c r="W69" s="7" t="s">
        <v>63</v>
      </c>
      <c r="X69" s="7" t="s">
        <v>265</v>
      </c>
      <c r="Y69" s="7" t="s">
        <v>163</v>
      </c>
      <c r="Z69" s="7"/>
    </row>
    <row r="70" spans="1:28" x14ac:dyDescent="0.15">
      <c r="A70" s="82"/>
      <c r="B70" s="162" t="s">
        <v>327</v>
      </c>
      <c r="C70" s="172" t="s">
        <v>328</v>
      </c>
      <c r="D70" s="173" t="s">
        <v>212</v>
      </c>
      <c r="E70" s="165">
        <v>151800</v>
      </c>
      <c r="F70" s="165">
        <v>31000</v>
      </c>
      <c r="G70" s="167">
        <v>-0.05</v>
      </c>
      <c r="H70" s="169">
        <f t="shared" si="7"/>
        <v>-7600</v>
      </c>
      <c r="I70" s="89">
        <v>885</v>
      </c>
      <c r="J70" s="83" t="s">
        <v>183</v>
      </c>
      <c r="K70" s="144">
        <v>885</v>
      </c>
      <c r="L70" s="169">
        <f t="shared" si="8"/>
        <v>0</v>
      </c>
      <c r="M70" s="145">
        <f t="shared" si="9"/>
        <v>23400</v>
      </c>
      <c r="N70" s="170">
        <f t="shared" si="10"/>
        <v>0.1541501976284585</v>
      </c>
      <c r="O70" s="107">
        <f t="shared" si="11"/>
        <v>0.75483870967741939</v>
      </c>
      <c r="P70" s="95">
        <v>31000</v>
      </c>
      <c r="Q70" s="171">
        <v>151650</v>
      </c>
      <c r="R70" s="96">
        <f t="shared" si="12"/>
        <v>0.20441806791955161</v>
      </c>
      <c r="S70" s="95">
        <v>31000</v>
      </c>
      <c r="T70" s="171">
        <v>151650</v>
      </c>
      <c r="U70" s="96">
        <f t="shared" si="13"/>
        <v>0.20441806791955161</v>
      </c>
      <c r="V70" s="7" t="s">
        <v>122</v>
      </c>
      <c r="W70" s="7" t="s">
        <v>65</v>
      </c>
      <c r="X70" s="7" t="s">
        <v>275</v>
      </c>
      <c r="Y70" s="7" t="s">
        <v>163</v>
      </c>
      <c r="Z70" s="7"/>
    </row>
    <row r="71" spans="1:28" x14ac:dyDescent="0.15">
      <c r="A71" s="82"/>
      <c r="B71" s="162" t="s">
        <v>329</v>
      </c>
      <c r="C71" s="172" t="s">
        <v>330</v>
      </c>
      <c r="D71" s="173" t="s">
        <v>212</v>
      </c>
      <c r="E71" s="165">
        <v>151800</v>
      </c>
      <c r="F71" s="165">
        <v>31000</v>
      </c>
      <c r="G71" s="167">
        <v>-0.05</v>
      </c>
      <c r="H71" s="169">
        <f t="shared" si="7"/>
        <v>-7600</v>
      </c>
      <c r="I71" s="89">
        <v>885</v>
      </c>
      <c r="J71" s="83" t="s">
        <v>183</v>
      </c>
      <c r="K71" s="144">
        <v>885</v>
      </c>
      <c r="L71" s="169">
        <f t="shared" si="8"/>
        <v>0</v>
      </c>
      <c r="M71" s="145">
        <f t="shared" si="9"/>
        <v>23400</v>
      </c>
      <c r="N71" s="170">
        <f t="shared" si="10"/>
        <v>0.1541501976284585</v>
      </c>
      <c r="O71" s="107">
        <f t="shared" si="11"/>
        <v>0.75483870967741939</v>
      </c>
      <c r="P71" s="95">
        <v>31000</v>
      </c>
      <c r="Q71" s="171">
        <v>151650</v>
      </c>
      <c r="R71" s="96">
        <f t="shared" si="12"/>
        <v>0.20441806791955161</v>
      </c>
      <c r="S71" s="95">
        <v>31000</v>
      </c>
      <c r="T71" s="171">
        <v>151650</v>
      </c>
      <c r="U71" s="96">
        <f t="shared" si="13"/>
        <v>0.20441806791955161</v>
      </c>
      <c r="V71" s="7" t="s">
        <v>122</v>
      </c>
      <c r="W71" s="7" t="s">
        <v>65</v>
      </c>
      <c r="X71" s="7" t="s">
        <v>275</v>
      </c>
      <c r="Y71" s="7" t="s">
        <v>163</v>
      </c>
      <c r="Z71" s="7"/>
    </row>
    <row r="72" spans="1:28" x14ac:dyDescent="0.15">
      <c r="A72" s="82"/>
      <c r="B72" s="162" t="s">
        <v>331</v>
      </c>
      <c r="C72" s="172" t="s">
        <v>332</v>
      </c>
      <c r="D72" s="173" t="s">
        <v>212</v>
      </c>
      <c r="E72" s="165">
        <v>151800</v>
      </c>
      <c r="F72" s="165">
        <v>31000</v>
      </c>
      <c r="G72" s="191">
        <v>0</v>
      </c>
      <c r="H72" s="169">
        <f t="shared" si="7"/>
        <v>0</v>
      </c>
      <c r="I72" s="89">
        <v>885</v>
      </c>
      <c r="J72" s="83" t="s">
        <v>183</v>
      </c>
      <c r="K72" s="144">
        <v>885</v>
      </c>
      <c r="L72" s="169">
        <f t="shared" si="8"/>
        <v>0</v>
      </c>
      <c r="M72" s="145">
        <f t="shared" si="9"/>
        <v>31000</v>
      </c>
      <c r="N72" s="170">
        <f t="shared" si="10"/>
        <v>0.20421607378129117</v>
      </c>
      <c r="O72" s="107">
        <f t="shared" si="11"/>
        <v>1</v>
      </c>
      <c r="P72" s="95">
        <v>31000</v>
      </c>
      <c r="Q72" s="171">
        <v>151650</v>
      </c>
      <c r="R72" s="96">
        <f t="shared" si="12"/>
        <v>0.20441806791955161</v>
      </c>
      <c r="S72" s="95">
        <v>31000</v>
      </c>
      <c r="T72" s="171">
        <v>151650</v>
      </c>
      <c r="U72" s="96">
        <f t="shared" si="13"/>
        <v>0.20441806791955161</v>
      </c>
      <c r="V72" s="7" t="s">
        <v>122</v>
      </c>
      <c r="W72" s="7" t="s">
        <v>65</v>
      </c>
      <c r="X72" s="7" t="s">
        <v>275</v>
      </c>
      <c r="Y72" s="7" t="s">
        <v>163</v>
      </c>
      <c r="Z72" s="7"/>
    </row>
    <row r="73" spans="1:28" x14ac:dyDescent="0.15">
      <c r="A73" s="82"/>
      <c r="B73" s="162" t="s">
        <v>333</v>
      </c>
      <c r="C73" s="172" t="s">
        <v>334</v>
      </c>
      <c r="D73" s="173" t="s">
        <v>212</v>
      </c>
      <c r="E73" s="165">
        <v>150000</v>
      </c>
      <c r="F73" s="165">
        <v>30000</v>
      </c>
      <c r="G73" s="167">
        <v>-0.05</v>
      </c>
      <c r="H73" s="169">
        <f t="shared" si="7"/>
        <v>-7500</v>
      </c>
      <c r="I73" s="89">
        <v>885</v>
      </c>
      <c r="J73" s="83" t="s">
        <v>183</v>
      </c>
      <c r="K73" s="144">
        <v>885</v>
      </c>
      <c r="L73" s="169">
        <f t="shared" si="8"/>
        <v>0</v>
      </c>
      <c r="M73" s="145">
        <f t="shared" si="9"/>
        <v>22500</v>
      </c>
      <c r="N73" s="170">
        <f t="shared" si="10"/>
        <v>0.15</v>
      </c>
      <c r="O73" s="107">
        <f t="shared" si="11"/>
        <v>0.75</v>
      </c>
      <c r="P73" s="95">
        <v>30000</v>
      </c>
      <c r="Q73" s="171">
        <v>150000</v>
      </c>
      <c r="R73" s="96">
        <f t="shared" si="12"/>
        <v>0.2</v>
      </c>
      <c r="S73" s="95">
        <v>36800</v>
      </c>
      <c r="T73" s="171">
        <v>150000</v>
      </c>
      <c r="U73" s="96">
        <f t="shared" si="13"/>
        <v>0.24533333333333332</v>
      </c>
      <c r="V73" s="7" t="s">
        <v>122</v>
      </c>
      <c r="W73" s="7" t="s">
        <v>67</v>
      </c>
      <c r="X73" s="7" t="s">
        <v>306</v>
      </c>
      <c r="Y73" s="7" t="s">
        <v>163</v>
      </c>
      <c r="Z73" s="7"/>
    </row>
    <row r="74" spans="1:28" x14ac:dyDescent="0.15">
      <c r="A74" s="82"/>
      <c r="B74" s="162" t="s">
        <v>335</v>
      </c>
      <c r="C74" s="172" t="s">
        <v>336</v>
      </c>
      <c r="D74" s="173" t="s">
        <v>212</v>
      </c>
      <c r="E74" s="165">
        <v>121440</v>
      </c>
      <c r="F74" s="165">
        <v>25000</v>
      </c>
      <c r="G74" s="167">
        <v>-0.05</v>
      </c>
      <c r="H74" s="169">
        <f t="shared" si="7"/>
        <v>-6100</v>
      </c>
      <c r="I74" s="89">
        <v>880</v>
      </c>
      <c r="J74" s="83" t="s">
        <v>183</v>
      </c>
      <c r="K74" s="144">
        <v>885</v>
      </c>
      <c r="L74" s="169">
        <f t="shared" si="8"/>
        <v>-100</v>
      </c>
      <c r="M74" s="145">
        <f t="shared" si="9"/>
        <v>18800</v>
      </c>
      <c r="N74" s="170">
        <f t="shared" si="10"/>
        <v>0.15480895915678525</v>
      </c>
      <c r="O74" s="107">
        <f t="shared" si="11"/>
        <v>6.8115942028985507E-2</v>
      </c>
      <c r="P74" s="95">
        <v>276000</v>
      </c>
      <c r="Q74" s="171">
        <v>153042</v>
      </c>
      <c r="R74" s="96">
        <f t="shared" si="12"/>
        <v>1.8034265103697025</v>
      </c>
      <c r="S74" s="95">
        <v>252800</v>
      </c>
      <c r="T74" s="171">
        <v>184300</v>
      </c>
      <c r="U74" s="96">
        <f t="shared" si="13"/>
        <v>1.3716766142159522</v>
      </c>
      <c r="V74" s="7" t="s">
        <v>122</v>
      </c>
      <c r="W74" s="7" t="s">
        <v>64</v>
      </c>
      <c r="X74" s="7" t="s">
        <v>293</v>
      </c>
      <c r="Y74" s="7" t="s">
        <v>163</v>
      </c>
      <c r="Z74" s="7"/>
    </row>
    <row r="75" spans="1:28" x14ac:dyDescent="0.15">
      <c r="A75" s="82"/>
      <c r="B75" s="162" t="s">
        <v>337</v>
      </c>
      <c r="C75" s="172" t="s">
        <v>338</v>
      </c>
      <c r="D75" s="173" t="s">
        <v>212</v>
      </c>
      <c r="E75" s="165">
        <v>51600</v>
      </c>
      <c r="F75" s="165">
        <v>11000</v>
      </c>
      <c r="G75" s="167">
        <v>0</v>
      </c>
      <c r="H75" s="169">
        <f t="shared" si="7"/>
        <v>0</v>
      </c>
      <c r="I75" s="89">
        <v>286</v>
      </c>
      <c r="J75" s="83" t="s">
        <v>183</v>
      </c>
      <c r="K75" s="144">
        <v>289</v>
      </c>
      <c r="L75" s="169">
        <f t="shared" si="8"/>
        <v>-100</v>
      </c>
      <c r="M75" s="145">
        <f t="shared" si="9"/>
        <v>10900</v>
      </c>
      <c r="N75" s="170">
        <f t="shared" si="10"/>
        <v>0.21124031007751937</v>
      </c>
      <c r="O75" s="107"/>
      <c r="P75" s="95"/>
      <c r="Q75" s="171"/>
      <c r="R75" s="96"/>
      <c r="S75" s="95"/>
      <c r="T75" s="171"/>
      <c r="U75" s="96"/>
      <c r="V75" s="7" t="s">
        <v>122</v>
      </c>
      <c r="W75" s="7" t="s">
        <v>69</v>
      </c>
      <c r="X75" s="7" t="s">
        <v>270</v>
      </c>
      <c r="Y75" s="7" t="s">
        <v>163</v>
      </c>
      <c r="Z75" s="32"/>
    </row>
    <row r="76" spans="1:28" x14ac:dyDescent="0.15">
      <c r="A76" s="82"/>
      <c r="B76" s="162"/>
      <c r="C76" s="197"/>
      <c r="D76" s="173"/>
      <c r="E76" s="165"/>
      <c r="F76" s="165"/>
      <c r="G76" s="167"/>
      <c r="H76" s="169"/>
      <c r="I76" s="89"/>
      <c r="J76" s="83"/>
      <c r="K76" s="144"/>
      <c r="L76" s="169"/>
      <c r="M76" s="145"/>
      <c r="N76" s="170"/>
      <c r="O76" s="107"/>
      <c r="P76" s="95"/>
      <c r="Q76" s="171"/>
      <c r="R76" s="96"/>
      <c r="S76" s="95"/>
      <c r="T76" s="171"/>
      <c r="U76" s="96"/>
      <c r="Z76" s="32"/>
    </row>
    <row r="77" spans="1:28" ht="14.25" thickBot="1" x14ac:dyDescent="0.2">
      <c r="A77" s="127"/>
      <c r="B77" s="174"/>
      <c r="C77" s="211" t="s">
        <v>219</v>
      </c>
      <c r="D77" s="176"/>
      <c r="E77" s="177">
        <v>1103940</v>
      </c>
      <c r="F77" s="177">
        <v>225000</v>
      </c>
      <c r="G77" s="178"/>
      <c r="H77" s="180">
        <v>-28800</v>
      </c>
      <c r="I77" s="128"/>
      <c r="J77" s="129"/>
      <c r="K77" s="151"/>
      <c r="L77" s="180"/>
      <c r="M77" s="150">
        <v>196000</v>
      </c>
      <c r="N77" s="181">
        <f>IF(M77="","",M77/E77)</f>
        <v>0.17754588111672737</v>
      </c>
      <c r="O77" s="141">
        <f>IF(P77=0,0,M77/P77)</f>
        <v>0.42150537634408602</v>
      </c>
      <c r="P77" s="130">
        <v>465000</v>
      </c>
      <c r="Q77" s="182">
        <v>1083492</v>
      </c>
      <c r="R77" s="131">
        <f>IF(P77=0,"",P77/Q77)</f>
        <v>0.42916791263802595</v>
      </c>
      <c r="S77" s="130">
        <v>457000</v>
      </c>
      <c r="T77" s="182">
        <v>1114750</v>
      </c>
      <c r="U77" s="131">
        <f>IF(S77=0,"",S77/T77)</f>
        <v>0.40995738954922628</v>
      </c>
      <c r="Z77" s="32"/>
    </row>
    <row r="78" spans="1:28" ht="14.25" thickTop="1" x14ac:dyDescent="0.15">
      <c r="A78" s="122"/>
      <c r="B78" s="195"/>
      <c r="C78" s="210"/>
      <c r="D78" s="184"/>
      <c r="E78" s="185"/>
      <c r="F78" s="185"/>
      <c r="G78" s="186"/>
      <c r="H78" s="188"/>
      <c r="I78" s="123"/>
      <c r="J78" s="124"/>
      <c r="K78" s="152"/>
      <c r="L78" s="188"/>
      <c r="M78" s="149"/>
      <c r="N78" s="189"/>
      <c r="O78" s="140"/>
      <c r="P78" s="125"/>
      <c r="Q78" s="190"/>
      <c r="R78" s="126"/>
      <c r="S78" s="125"/>
      <c r="T78" s="190"/>
      <c r="U78" s="126"/>
      <c r="Z78" s="32"/>
    </row>
    <row r="79" spans="1:28" ht="14.25" thickBot="1" x14ac:dyDescent="0.2">
      <c r="A79" s="127"/>
      <c r="B79" s="174"/>
      <c r="C79" s="211" t="s">
        <v>215</v>
      </c>
      <c r="D79" s="176"/>
      <c r="E79" s="177">
        <f>E28+E58+E65+E77</f>
        <v>10977040</v>
      </c>
      <c r="F79" s="177">
        <f>F28+F58+F65+F77</f>
        <v>16113000</v>
      </c>
      <c r="G79" s="178"/>
      <c r="H79" s="180">
        <f>H28+H58+H65+H77</f>
        <v>129000</v>
      </c>
      <c r="I79" s="128"/>
      <c r="J79" s="129"/>
      <c r="K79" s="151"/>
      <c r="L79" s="180"/>
      <c r="M79" s="150">
        <f>M28+M58+M65+M77</f>
        <v>16153300</v>
      </c>
      <c r="N79" s="181">
        <f>IF(M79=0,"",M79/E79)</f>
        <v>1.4715533513588364</v>
      </c>
      <c r="O79" s="141">
        <f>IF(P79=0,0,M79/P79)</f>
        <v>0.96238240778804507</v>
      </c>
      <c r="P79" s="130">
        <v>16784700</v>
      </c>
      <c r="Q79" s="182">
        <v>10155592</v>
      </c>
      <c r="R79" s="131">
        <f>IF(P79=0,"",P79/Q79)</f>
        <v>1.6527544627629782</v>
      </c>
      <c r="S79" s="130">
        <v>15105400</v>
      </c>
      <c r="T79" s="182">
        <v>9884850</v>
      </c>
      <c r="U79" s="131">
        <f>IF(S79=0,"",S79/T79)</f>
        <v>1.528136491701948</v>
      </c>
    </row>
    <row r="80" spans="1:28" ht="14.25" thickTop="1" x14ac:dyDescent="0.15">
      <c r="A80" s="122"/>
      <c r="B80" s="195"/>
      <c r="C80" s="210"/>
      <c r="D80" s="184"/>
      <c r="E80" s="185"/>
      <c r="F80" s="185"/>
      <c r="G80" s="186"/>
      <c r="H80" s="188"/>
      <c r="I80" s="123"/>
      <c r="J80" s="124"/>
      <c r="K80" s="152"/>
      <c r="L80" s="188"/>
      <c r="M80" s="149"/>
      <c r="N80" s="189"/>
      <c r="O80" s="140"/>
      <c r="P80" s="125"/>
      <c r="Q80" s="190"/>
      <c r="R80" s="126"/>
      <c r="S80" s="125"/>
      <c r="T80" s="190"/>
      <c r="U80" s="126"/>
    </row>
    <row r="81" spans="1:21" x14ac:dyDescent="0.15">
      <c r="A81" s="82"/>
      <c r="B81" s="162"/>
      <c r="C81" s="197"/>
      <c r="D81" s="173"/>
      <c r="E81" s="165"/>
      <c r="F81" s="165"/>
      <c r="G81" s="167"/>
      <c r="H81" s="169"/>
      <c r="I81" s="89"/>
      <c r="J81" s="83"/>
      <c r="K81" s="144"/>
      <c r="L81" s="169"/>
      <c r="M81" s="145"/>
      <c r="N81" s="170"/>
      <c r="O81" s="107"/>
      <c r="P81" s="95"/>
      <c r="Q81" s="171"/>
      <c r="R81" s="96"/>
      <c r="S81" s="95"/>
      <c r="T81" s="171"/>
      <c r="U81" s="96"/>
    </row>
    <row r="82" spans="1:21" x14ac:dyDescent="0.15">
      <c r="A82" s="82"/>
      <c r="B82" s="162"/>
      <c r="C82" s="197"/>
      <c r="D82" s="173"/>
      <c r="E82" s="165"/>
      <c r="F82" s="165"/>
      <c r="G82" s="167"/>
      <c r="H82" s="169"/>
      <c r="I82" s="89"/>
      <c r="J82" s="83"/>
      <c r="K82" s="144"/>
      <c r="L82" s="169"/>
      <c r="M82" s="145"/>
      <c r="N82" s="170"/>
      <c r="O82" s="107"/>
      <c r="P82" s="95"/>
      <c r="Q82" s="171"/>
      <c r="R82" s="96"/>
      <c r="S82" s="95"/>
      <c r="T82" s="171"/>
      <c r="U82" s="96"/>
    </row>
    <row r="83" spans="1:21" x14ac:dyDescent="0.15">
      <c r="A83" s="82"/>
      <c r="B83" s="162"/>
      <c r="C83" s="197"/>
      <c r="D83" s="173"/>
      <c r="E83" s="165"/>
      <c r="F83" s="165"/>
      <c r="G83" s="167"/>
      <c r="H83" s="169"/>
      <c r="I83" s="89"/>
      <c r="J83" s="83"/>
      <c r="K83" s="144"/>
      <c r="L83" s="169"/>
      <c r="M83" s="145"/>
      <c r="N83" s="170"/>
      <c r="O83" s="107"/>
      <c r="P83" s="95"/>
      <c r="Q83" s="171"/>
      <c r="R83" s="96"/>
      <c r="S83" s="95"/>
      <c r="T83" s="171"/>
      <c r="U83" s="96"/>
    </row>
    <row r="84" spans="1:21" x14ac:dyDescent="0.15">
      <c r="A84" s="82"/>
      <c r="B84" s="162"/>
      <c r="C84" s="197"/>
      <c r="D84" s="173"/>
      <c r="E84" s="165"/>
      <c r="F84" s="165"/>
      <c r="G84" s="167"/>
      <c r="H84" s="169"/>
      <c r="I84" s="89"/>
      <c r="J84" s="83"/>
      <c r="K84" s="144"/>
      <c r="L84" s="169"/>
      <c r="M84" s="145"/>
      <c r="N84" s="170"/>
      <c r="O84" s="107"/>
      <c r="P84" s="95"/>
      <c r="Q84" s="171"/>
      <c r="R84" s="96"/>
      <c r="S84" s="95"/>
      <c r="T84" s="171"/>
      <c r="U84" s="96"/>
    </row>
    <row r="85" spans="1:21" x14ac:dyDescent="0.15">
      <c r="A85" s="82"/>
      <c r="B85" s="162"/>
      <c r="C85" s="197"/>
      <c r="D85" s="173"/>
      <c r="E85" s="165"/>
      <c r="F85" s="165"/>
      <c r="G85" s="167"/>
      <c r="H85" s="169"/>
      <c r="I85" s="89"/>
      <c r="J85" s="83"/>
      <c r="K85" s="144"/>
      <c r="L85" s="169"/>
      <c r="M85" s="145"/>
      <c r="N85" s="170"/>
      <c r="O85" s="107"/>
      <c r="P85" s="95"/>
      <c r="Q85" s="171"/>
      <c r="R85" s="96"/>
      <c r="S85" s="95"/>
      <c r="T85" s="171"/>
      <c r="U85" s="96"/>
    </row>
    <row r="86" spans="1:21" x14ac:dyDescent="0.15">
      <c r="A86" s="82"/>
      <c r="B86" s="162"/>
      <c r="C86" s="197"/>
      <c r="D86" s="173"/>
      <c r="E86" s="165"/>
      <c r="F86" s="165"/>
      <c r="G86" s="167"/>
      <c r="H86" s="169"/>
      <c r="I86" s="89"/>
      <c r="J86" s="83"/>
      <c r="K86" s="144"/>
      <c r="L86" s="169"/>
      <c r="M86" s="145"/>
      <c r="N86" s="170"/>
      <c r="O86" s="107"/>
      <c r="P86" s="95"/>
      <c r="Q86" s="171"/>
      <c r="R86" s="96"/>
      <c r="S86" s="95"/>
      <c r="T86" s="171"/>
      <c r="U86" s="96"/>
    </row>
    <row r="87" spans="1:21" x14ac:dyDescent="0.15">
      <c r="A87" s="82"/>
      <c r="B87" s="162"/>
      <c r="C87" s="197"/>
      <c r="D87" s="173"/>
      <c r="E87" s="165"/>
      <c r="F87" s="165"/>
      <c r="G87" s="167"/>
      <c r="H87" s="169"/>
      <c r="I87" s="89"/>
      <c r="J87" s="83"/>
      <c r="K87" s="144"/>
      <c r="L87" s="169"/>
      <c r="M87" s="145"/>
      <c r="N87" s="170"/>
      <c r="O87" s="107"/>
      <c r="P87" s="95"/>
      <c r="Q87" s="171"/>
      <c r="R87" s="96"/>
      <c r="S87" s="95"/>
      <c r="T87" s="171"/>
      <c r="U87" s="96"/>
    </row>
    <row r="88" spans="1:21" x14ac:dyDescent="0.15">
      <c r="A88" s="82"/>
      <c r="B88" s="162"/>
      <c r="C88" s="197"/>
      <c r="D88" s="173"/>
      <c r="E88" s="165"/>
      <c r="F88" s="165"/>
      <c r="G88" s="167"/>
      <c r="H88" s="169"/>
      <c r="I88" s="89"/>
      <c r="J88" s="83"/>
      <c r="K88" s="144"/>
      <c r="L88" s="169"/>
      <c r="M88" s="145"/>
      <c r="N88" s="170"/>
      <c r="O88" s="107"/>
      <c r="P88" s="95"/>
      <c r="Q88" s="171"/>
      <c r="R88" s="96"/>
      <c r="S88" s="95"/>
      <c r="T88" s="171"/>
      <c r="U88" s="96"/>
    </row>
    <row r="89" spans="1:21" x14ac:dyDescent="0.15">
      <c r="A89" s="82"/>
      <c r="B89" s="162"/>
      <c r="C89" s="197"/>
      <c r="D89" s="173"/>
      <c r="E89" s="165"/>
      <c r="F89" s="165"/>
      <c r="G89" s="167"/>
      <c r="H89" s="169"/>
      <c r="I89" s="89"/>
      <c r="J89" s="83"/>
      <c r="K89" s="144"/>
      <c r="L89" s="169"/>
      <c r="M89" s="145"/>
      <c r="N89" s="170"/>
      <c r="O89" s="107"/>
      <c r="P89" s="95"/>
      <c r="Q89" s="171"/>
      <c r="R89" s="96"/>
      <c r="S89" s="95"/>
      <c r="T89" s="171"/>
      <c r="U89" s="96"/>
    </row>
    <row r="90" spans="1:21" x14ac:dyDescent="0.15">
      <c r="A90" s="82"/>
      <c r="B90" s="162"/>
      <c r="C90" s="197"/>
      <c r="D90" s="173"/>
      <c r="E90" s="165"/>
      <c r="F90" s="165"/>
      <c r="G90" s="167"/>
      <c r="H90" s="169"/>
      <c r="I90" s="89"/>
      <c r="J90" s="83"/>
      <c r="K90" s="144"/>
      <c r="L90" s="169"/>
      <c r="M90" s="145"/>
      <c r="N90" s="170"/>
      <c r="O90" s="107"/>
      <c r="P90" s="95"/>
      <c r="Q90" s="171"/>
      <c r="R90" s="96"/>
      <c r="S90" s="95"/>
      <c r="T90" s="171"/>
      <c r="U90" s="96"/>
    </row>
    <row r="91" spans="1:21" x14ac:dyDescent="0.15">
      <c r="A91" s="82"/>
      <c r="B91" s="162"/>
      <c r="C91" s="197"/>
      <c r="D91" s="173"/>
      <c r="E91" s="165"/>
      <c r="F91" s="165"/>
      <c r="G91" s="167"/>
      <c r="H91" s="169"/>
      <c r="I91" s="89"/>
      <c r="J91" s="83"/>
      <c r="K91" s="144"/>
      <c r="L91" s="169"/>
      <c r="M91" s="145"/>
      <c r="N91" s="170"/>
      <c r="O91" s="107"/>
      <c r="P91" s="95"/>
      <c r="Q91" s="171"/>
      <c r="R91" s="96"/>
      <c r="S91" s="95"/>
      <c r="T91" s="171"/>
      <c r="U91" s="96"/>
    </row>
    <row r="92" spans="1:21" x14ac:dyDescent="0.15">
      <c r="A92" s="82"/>
      <c r="B92" s="162"/>
      <c r="C92" s="197"/>
      <c r="D92" s="173"/>
      <c r="E92" s="165"/>
      <c r="F92" s="165"/>
      <c r="G92" s="167"/>
      <c r="H92" s="169"/>
      <c r="I92" s="89"/>
      <c r="J92" s="83"/>
      <c r="K92" s="144"/>
      <c r="L92" s="169"/>
      <c r="M92" s="145"/>
      <c r="N92" s="170"/>
      <c r="O92" s="107"/>
      <c r="P92" s="95"/>
      <c r="Q92" s="171"/>
      <c r="R92" s="96"/>
      <c r="S92" s="95"/>
      <c r="T92" s="171"/>
      <c r="U92" s="96"/>
    </row>
    <row r="93" spans="1:21" x14ac:dyDescent="0.15">
      <c r="A93" s="82"/>
      <c r="B93" s="162"/>
      <c r="C93" s="197"/>
      <c r="D93" s="173"/>
      <c r="E93" s="165"/>
      <c r="F93" s="165"/>
      <c r="G93" s="167"/>
      <c r="H93" s="169"/>
      <c r="I93" s="89"/>
      <c r="J93" s="83"/>
      <c r="K93" s="144"/>
      <c r="L93" s="169"/>
      <c r="M93" s="145"/>
      <c r="N93" s="170"/>
      <c r="O93" s="107"/>
      <c r="P93" s="95"/>
      <c r="Q93" s="171"/>
      <c r="R93" s="96"/>
      <c r="S93" s="95"/>
      <c r="T93" s="171"/>
      <c r="U93" s="96"/>
    </row>
    <row r="94" spans="1:21" x14ac:dyDescent="0.15">
      <c r="A94" s="82"/>
      <c r="B94" s="162"/>
      <c r="C94" s="197"/>
      <c r="D94" s="173"/>
      <c r="E94" s="165"/>
      <c r="F94" s="165"/>
      <c r="G94" s="167"/>
      <c r="H94" s="169"/>
      <c r="I94" s="89"/>
      <c r="J94" s="83"/>
      <c r="K94" s="144"/>
      <c r="L94" s="169"/>
      <c r="M94" s="145"/>
      <c r="N94" s="170"/>
      <c r="O94" s="107"/>
      <c r="P94" s="95"/>
      <c r="Q94" s="171"/>
      <c r="R94" s="96"/>
      <c r="S94" s="95"/>
      <c r="T94" s="171"/>
      <c r="U94" s="96"/>
    </row>
    <row r="95" spans="1:21" x14ac:dyDescent="0.15">
      <c r="A95" s="82"/>
      <c r="B95" s="162"/>
      <c r="C95" s="197"/>
      <c r="D95" s="173"/>
      <c r="E95" s="165"/>
      <c r="F95" s="165"/>
      <c r="G95" s="167"/>
      <c r="H95" s="169"/>
      <c r="I95" s="89"/>
      <c r="J95" s="83"/>
      <c r="K95" s="144"/>
      <c r="L95" s="169"/>
      <c r="M95" s="145"/>
      <c r="N95" s="170"/>
      <c r="O95" s="107"/>
      <c r="P95" s="95"/>
      <c r="Q95" s="171"/>
      <c r="R95" s="96"/>
      <c r="S95" s="95"/>
      <c r="T95" s="171"/>
      <c r="U95" s="96"/>
    </row>
    <row r="96" spans="1:21" x14ac:dyDescent="0.15">
      <c r="A96" s="82"/>
      <c r="B96" s="162"/>
      <c r="C96" s="197"/>
      <c r="D96" s="173"/>
      <c r="E96" s="165"/>
      <c r="F96" s="165"/>
      <c r="G96" s="167"/>
      <c r="H96" s="169"/>
      <c r="I96" s="89"/>
      <c r="J96" s="83"/>
      <c r="K96" s="144"/>
      <c r="L96" s="169"/>
      <c r="M96" s="145"/>
      <c r="N96" s="170"/>
      <c r="O96" s="107"/>
      <c r="P96" s="95"/>
      <c r="Q96" s="171"/>
      <c r="R96" s="96"/>
      <c r="S96" s="95"/>
      <c r="T96" s="171"/>
      <c r="U96" s="96"/>
    </row>
    <row r="97" spans="1:24" x14ac:dyDescent="0.15">
      <c r="A97" s="82"/>
      <c r="B97" s="162"/>
      <c r="C97" s="197"/>
      <c r="D97" s="173"/>
      <c r="E97" s="165"/>
      <c r="F97" s="165"/>
      <c r="G97" s="167"/>
      <c r="H97" s="169"/>
      <c r="I97" s="89"/>
      <c r="J97" s="83"/>
      <c r="K97" s="146"/>
      <c r="L97" s="169"/>
      <c r="M97" s="145"/>
      <c r="N97" s="170"/>
      <c r="O97" s="107"/>
      <c r="P97" s="95"/>
      <c r="Q97" s="171"/>
      <c r="R97" s="96"/>
      <c r="S97" s="95"/>
      <c r="T97" s="171"/>
      <c r="U97" s="96"/>
    </row>
    <row r="98" spans="1:24" x14ac:dyDescent="0.15">
      <c r="A98" s="82"/>
      <c r="B98" s="162"/>
      <c r="C98" s="197"/>
      <c r="D98" s="173"/>
      <c r="E98" s="165"/>
      <c r="F98" s="165"/>
      <c r="G98" s="167"/>
      <c r="H98" s="169"/>
      <c r="I98" s="89"/>
      <c r="J98" s="83"/>
      <c r="K98" s="146"/>
      <c r="L98" s="169"/>
      <c r="M98" s="145"/>
      <c r="N98" s="170"/>
      <c r="O98" s="107"/>
      <c r="P98" s="95"/>
      <c r="Q98" s="171"/>
      <c r="R98" s="96"/>
      <c r="S98" s="95"/>
      <c r="T98" s="171"/>
      <c r="U98" s="96"/>
    </row>
    <row r="99" spans="1:24" x14ac:dyDescent="0.15">
      <c r="A99" s="82"/>
      <c r="B99" s="162"/>
      <c r="C99" s="197"/>
      <c r="D99" s="173"/>
      <c r="E99" s="165"/>
      <c r="F99" s="165"/>
      <c r="G99" s="167"/>
      <c r="H99" s="169"/>
      <c r="I99" s="89"/>
      <c r="J99" s="83"/>
      <c r="K99" s="146"/>
      <c r="L99" s="169"/>
      <c r="M99" s="145"/>
      <c r="N99" s="170"/>
      <c r="O99" s="107"/>
      <c r="P99" s="95"/>
      <c r="Q99" s="171"/>
      <c r="R99" s="96"/>
      <c r="S99" s="95"/>
      <c r="T99" s="171"/>
      <c r="U99" s="96"/>
    </row>
    <row r="100" spans="1:24" x14ac:dyDescent="0.15">
      <c r="A100" s="84"/>
      <c r="B100" s="198"/>
      <c r="C100" s="199"/>
      <c r="D100" s="200"/>
      <c r="E100" s="201"/>
      <c r="F100" s="201"/>
      <c r="G100" s="202"/>
      <c r="H100" s="203"/>
      <c r="I100" s="90"/>
      <c r="J100" s="85"/>
      <c r="K100" s="147"/>
      <c r="L100" s="203"/>
      <c r="M100" s="148"/>
      <c r="N100" s="204"/>
      <c r="O100" s="109"/>
      <c r="P100" s="97"/>
      <c r="Q100" s="205"/>
      <c r="R100" s="98"/>
      <c r="S100" s="97"/>
      <c r="T100" s="205"/>
      <c r="U100" s="98"/>
    </row>
    <row r="101" spans="1:24" x14ac:dyDescent="0.15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54"/>
      <c r="W101" s="54"/>
      <c r="X101" s="54"/>
    </row>
    <row r="102" spans="1:24" x14ac:dyDescent="0.15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54"/>
      <c r="W102" s="54"/>
      <c r="X102" s="54"/>
    </row>
    <row r="103" spans="1:24" x14ac:dyDescent="0.15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54"/>
      <c r="W103" s="54"/>
      <c r="X103" s="54"/>
    </row>
    <row r="104" spans="1:24" x14ac:dyDescent="0.15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54"/>
      <c r="W104" s="54"/>
      <c r="X104" s="54"/>
    </row>
    <row r="105" spans="1:24" x14ac:dyDescent="0.15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54"/>
      <c r="W105" s="54"/>
      <c r="X105" s="54"/>
    </row>
    <row r="106" spans="1:24" x14ac:dyDescent="0.15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54"/>
      <c r="W106" s="54"/>
      <c r="X106" s="54"/>
    </row>
    <row r="107" spans="1:24" x14ac:dyDescent="0.15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54"/>
      <c r="W107" s="54"/>
      <c r="X107" s="54"/>
    </row>
    <row r="108" spans="1:24" x14ac:dyDescent="0.15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54"/>
      <c r="W108" s="54"/>
      <c r="X108" s="54"/>
    </row>
    <row r="109" spans="1:24" x14ac:dyDescent="0.15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54"/>
      <c r="W109" s="54"/>
      <c r="X109" s="54"/>
    </row>
    <row r="110" spans="1:24" x14ac:dyDescent="0.15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54"/>
      <c r="W110" s="54"/>
      <c r="X110" s="54"/>
    </row>
  </sheetData>
  <mergeCells count="12">
    <mergeCell ref="L5:L6"/>
    <mergeCell ref="M5:M6"/>
    <mergeCell ref="T4:U4"/>
    <mergeCell ref="A5:A6"/>
    <mergeCell ref="B5:B6"/>
    <mergeCell ref="C5:C6"/>
    <mergeCell ref="D5:D6"/>
    <mergeCell ref="E5:E6"/>
    <mergeCell ref="F5:F6"/>
    <mergeCell ref="G5:G6"/>
    <mergeCell ref="H5:H6"/>
    <mergeCell ref="I5:K6"/>
  </mergeCells>
  <phoneticPr fontId="2"/>
  <pageMargins left="0.78740157480314965" right="0.78740157480314965" top="0.98425196850393704" bottom="0.9055118110236221" header="0.51181102362204722" footer="0.51181102362204722"/>
  <pageSetup paperSize="12" scale="8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Drop Down 1">
              <controlPr defaultSize="0" autoLine="0" autoPict="0" macro="[0]!BMN_SET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85725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Get_First">
                <anchor>
                  <from>
                    <xdr:col>13</xdr:col>
                    <xdr:colOff>85725</xdr:colOff>
                    <xdr:row>1</xdr:row>
                    <xdr:rowOff>9525</xdr:rowOff>
                  </from>
                  <to>
                    <xdr:col>14</xdr:col>
                    <xdr:colOff>390525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Drop Down 3">
              <controlPr defaultSize="0" autoLine="0" autoPict="0" macro="[0]!Get_Data">
                <anchor mov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7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Up_Data">
                <anchor>
                  <from>
                    <xdr:col>2</xdr:col>
                    <xdr:colOff>238125</xdr:colOff>
                    <xdr:row>1</xdr:row>
                    <xdr:rowOff>0</xdr:rowOff>
                  </from>
                  <to>
                    <xdr:col>2</xdr:col>
                    <xdr:colOff>1047750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5">
              <controlPr defaultSize="0" print="0" autoFill="0" autoPict="0" macro="[0]!Get_Data">
                <anchor>
                  <from>
                    <xdr:col>2</xdr:col>
                    <xdr:colOff>1257300</xdr:colOff>
                    <xdr:row>1</xdr:row>
                    <xdr:rowOff>0</xdr:rowOff>
                  </from>
                  <to>
                    <xdr:col>4</xdr:col>
                    <xdr:colOff>333375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6">
              <controlPr defaultSize="0" print="0" autoFill="0" autoPict="0" macro="[0]!Prn_Canon">
                <anchor>
                  <from>
                    <xdr:col>8</xdr:col>
                    <xdr:colOff>9525</xdr:colOff>
                    <xdr:row>1</xdr:row>
                    <xdr:rowOff>9525</xdr:rowOff>
                  </from>
                  <to>
                    <xdr:col>10</xdr:col>
                    <xdr:colOff>295275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Button 7">
              <controlPr defaultSize="0" print="0" autoFill="0" autoPict="0" macro="[0]!Back_Main">
                <anchor>
                  <from>
                    <xdr:col>12</xdr:col>
                    <xdr:colOff>57150</xdr:colOff>
                    <xdr:row>1</xdr:row>
                    <xdr:rowOff>9525</xdr:rowOff>
                  </from>
                  <to>
                    <xdr:col>13</xdr:col>
                    <xdr:colOff>19050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Button 8">
              <controlPr defaultSize="0" print="0" autoFill="0" autoPict="0" macro="[0]!AP_END">
                <anchor>
                  <from>
                    <xdr:col>16</xdr:col>
                    <xdr:colOff>161925</xdr:colOff>
                    <xdr:row>1</xdr:row>
                    <xdr:rowOff>9525</xdr:rowOff>
                  </from>
                  <to>
                    <xdr:col>17</xdr:col>
                    <xdr:colOff>161925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Button 9">
              <controlPr defaultSize="0" print="0" autoFill="0" autoPict="0" macro="[0]!個別印刷">
                <anchor>
                  <from>
                    <xdr:col>15</xdr:col>
                    <xdr:colOff>85725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Button 10">
              <controlPr defaultSize="0" print="0" autoFill="0" autoPict="0" macro="[0]!Prn_PDF">
                <anchor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819150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indexed="34"/>
  </sheetPr>
  <dimension ref="A1:C27"/>
  <sheetViews>
    <sheetView workbookViewId="0">
      <selection activeCell="F14" sqref="F14"/>
    </sheetView>
  </sheetViews>
  <sheetFormatPr defaultRowHeight="17.25" x14ac:dyDescent="0.15"/>
  <cols>
    <col min="1" max="1" width="10.625" style="66" customWidth="1"/>
    <col min="2" max="3" width="15.625" style="66" customWidth="1"/>
    <col min="4" max="4" width="10.625" style="66" customWidth="1"/>
    <col min="5" max="16384" width="9" style="66"/>
  </cols>
  <sheetData>
    <row r="1" spans="1:3" x14ac:dyDescent="0.15">
      <c r="A1" s="66" t="s">
        <v>145</v>
      </c>
    </row>
    <row r="2" spans="1:3" x14ac:dyDescent="0.15">
      <c r="B2" s="66" t="str">
        <f>Data!E4</f>
        <v>令和4年夏季</v>
      </c>
    </row>
    <row r="3" spans="1:3" x14ac:dyDescent="0.15">
      <c r="B3" s="66" t="str">
        <f>Data!G4</f>
        <v>賞　与　計　算　表</v>
      </c>
    </row>
    <row r="5" spans="1:3" ht="19.5" customHeight="1" thickBot="1" x14ac:dyDescent="0.2">
      <c r="B5" s="69" t="s">
        <v>143</v>
      </c>
      <c r="C5" s="69" t="s">
        <v>379</v>
      </c>
    </row>
    <row r="6" spans="1:3" ht="19.5" customHeight="1" thickTop="1" x14ac:dyDescent="0.15">
      <c r="B6" s="68"/>
      <c r="C6" s="68"/>
    </row>
    <row r="7" spans="1:3" ht="19.5" customHeight="1" x14ac:dyDescent="0.15">
      <c r="B7" s="67" t="s">
        <v>3</v>
      </c>
      <c r="C7" s="70" t="s">
        <v>188</v>
      </c>
    </row>
    <row r="8" spans="1:3" ht="19.5" customHeight="1" x14ac:dyDescent="0.15">
      <c r="B8" s="67" t="s">
        <v>4</v>
      </c>
      <c r="C8" s="71">
        <v>253900</v>
      </c>
    </row>
    <row r="9" spans="1:3" ht="19.5" customHeight="1" x14ac:dyDescent="0.15">
      <c r="B9" s="67" t="s">
        <v>148</v>
      </c>
      <c r="C9" s="78">
        <v>1.7</v>
      </c>
    </row>
    <row r="10" spans="1:3" ht="19.5" customHeight="1" x14ac:dyDescent="0.15">
      <c r="B10" s="67" t="s">
        <v>6</v>
      </c>
      <c r="C10" s="71">
        <v>432000</v>
      </c>
    </row>
    <row r="11" spans="1:3" ht="19.5" customHeight="1" x14ac:dyDescent="0.15">
      <c r="B11" s="67" t="s">
        <v>7</v>
      </c>
      <c r="C11" s="79">
        <v>0</v>
      </c>
    </row>
    <row r="12" spans="1:3" ht="19.5" customHeight="1" x14ac:dyDescent="0.15">
      <c r="B12" s="67" t="s">
        <v>8</v>
      </c>
      <c r="C12" s="75">
        <v>0</v>
      </c>
    </row>
    <row r="13" spans="1:3" ht="19.5" customHeight="1" thickBot="1" x14ac:dyDescent="0.2">
      <c r="B13" s="64" t="s">
        <v>187</v>
      </c>
      <c r="C13" s="74">
        <v>0</v>
      </c>
    </row>
    <row r="14" spans="1:3" ht="19.5" customHeight="1" thickBot="1" x14ac:dyDescent="0.2">
      <c r="B14" s="65" t="s">
        <v>11</v>
      </c>
      <c r="C14" s="72">
        <v>432000</v>
      </c>
    </row>
    <row r="15" spans="1:3" ht="19.5" customHeight="1" x14ac:dyDescent="0.15">
      <c r="B15" s="77" t="s">
        <v>144</v>
      </c>
      <c r="C15" s="78">
        <v>1.7014572666404095</v>
      </c>
    </row>
    <row r="16" spans="1:3" ht="19.5" customHeight="1" x14ac:dyDescent="0.15">
      <c r="B16" s="67" t="s">
        <v>153</v>
      </c>
      <c r="C16" s="73">
        <v>0.89440993788819878</v>
      </c>
    </row>
    <row r="17" spans="2:3" ht="10.5" customHeight="1" x14ac:dyDescent="0.15">
      <c r="B17" s="68"/>
      <c r="C17" s="76"/>
    </row>
    <row r="18" spans="2:3" ht="19.5" customHeight="1" x14ac:dyDescent="0.15">
      <c r="B18" s="67" t="s">
        <v>152</v>
      </c>
      <c r="C18" s="71">
        <v>483000</v>
      </c>
    </row>
    <row r="19" spans="2:3" ht="19.5" customHeight="1" x14ac:dyDescent="0.15">
      <c r="B19" s="67" t="s">
        <v>158</v>
      </c>
      <c r="C19" s="71">
        <v>253900</v>
      </c>
    </row>
    <row r="20" spans="2:3" ht="19.5" customHeight="1" x14ac:dyDescent="0.15">
      <c r="B20" s="67" t="s">
        <v>159</v>
      </c>
      <c r="C20" s="78">
        <v>1.9023237495076801</v>
      </c>
    </row>
    <row r="22" spans="2:3" x14ac:dyDescent="0.15">
      <c r="B22" s="66" t="s">
        <v>146</v>
      </c>
    </row>
    <row r="23" spans="2:3" x14ac:dyDescent="0.15">
      <c r="B23" s="66" t="s">
        <v>147</v>
      </c>
    </row>
    <row r="26" spans="2:3" x14ac:dyDescent="0.15">
      <c r="B26" s="86" t="s">
        <v>149</v>
      </c>
    </row>
    <row r="27" spans="2:3" x14ac:dyDescent="0.15">
      <c r="B27" s="86" t="s">
        <v>150</v>
      </c>
    </row>
  </sheetData>
  <phoneticPr fontId="2"/>
  <pageMargins left="0.78700000000000003" right="0.78700000000000003" top="0.98399999999999999" bottom="0.98399999999999999" header="0.51200000000000001" footer="0.51200000000000001"/>
  <pageSetup paperSize="13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indexed="34"/>
    <pageSetUpPr fitToPage="1"/>
  </sheetPr>
  <dimension ref="A1:G31"/>
  <sheetViews>
    <sheetView workbookViewId="0"/>
  </sheetViews>
  <sheetFormatPr defaultRowHeight="17.25" x14ac:dyDescent="0.15"/>
  <cols>
    <col min="1" max="1" width="10.625" style="66" customWidth="1"/>
    <col min="2" max="2" width="14.75" style="66" customWidth="1"/>
    <col min="3" max="3" width="17.625" style="66" customWidth="1"/>
    <col min="4" max="4" width="10.625" style="66" customWidth="1"/>
    <col min="5" max="16384" width="9" style="66"/>
  </cols>
  <sheetData>
    <row r="1" spans="1:6" x14ac:dyDescent="0.15">
      <c r="A1" s="66" t="s">
        <v>145</v>
      </c>
    </row>
    <row r="2" spans="1:6" x14ac:dyDescent="0.15">
      <c r="A2" s="226" t="s">
        <v>180</v>
      </c>
      <c r="B2" s="226"/>
      <c r="C2" s="110"/>
    </row>
    <row r="3" spans="1:6" x14ac:dyDescent="0.15">
      <c r="B3" s="103"/>
      <c r="C3" s="103"/>
    </row>
    <row r="4" spans="1:6" ht="28.5" customHeight="1" x14ac:dyDescent="0.15">
      <c r="B4" s="111"/>
      <c r="C4" s="111"/>
    </row>
    <row r="5" spans="1:6" ht="18.75" x14ac:dyDescent="0.15">
      <c r="A5" s="227" t="s">
        <v>173</v>
      </c>
      <c r="B5" s="227"/>
      <c r="C5" s="227"/>
      <c r="D5" s="227"/>
      <c r="E5" s="227"/>
      <c r="F5" s="227"/>
    </row>
    <row r="6" spans="1:6" ht="33" customHeight="1" x14ac:dyDescent="0.15">
      <c r="B6" s="111"/>
      <c r="C6" s="111"/>
    </row>
    <row r="7" spans="1:6" ht="18.75" x14ac:dyDescent="0.15">
      <c r="A7" s="102" t="s">
        <v>166</v>
      </c>
      <c r="B7" s="101"/>
    </row>
    <row r="8" spans="1:6" ht="18.75" x14ac:dyDescent="0.15">
      <c r="A8" s="102" t="s">
        <v>167</v>
      </c>
      <c r="B8" s="101"/>
    </row>
    <row r="10" spans="1:6" ht="19.5" customHeight="1" x14ac:dyDescent="0.15">
      <c r="E10" s="112"/>
      <c r="F10" s="112" t="s">
        <v>169</v>
      </c>
    </row>
    <row r="11" spans="1:6" ht="19.5" customHeight="1" x14ac:dyDescent="0.15">
      <c r="B11" s="68"/>
      <c r="C11" s="68"/>
      <c r="E11" s="113"/>
      <c r="F11" s="113" t="s">
        <v>170</v>
      </c>
    </row>
    <row r="12" spans="1:6" ht="19.5" customHeight="1" x14ac:dyDescent="0.15">
      <c r="E12" s="112"/>
      <c r="F12" s="112" t="s">
        <v>171</v>
      </c>
    </row>
    <row r="13" spans="1:6" ht="19.5" customHeight="1" x14ac:dyDescent="0.15"/>
    <row r="14" spans="1:6" ht="19.5" customHeight="1" thickBot="1" x14ac:dyDescent="0.2">
      <c r="A14" s="68"/>
      <c r="B14" s="68"/>
      <c r="C14" s="99"/>
      <c r="D14" s="68"/>
    </row>
    <row r="15" spans="1:6" ht="19.5" customHeight="1" x14ac:dyDescent="0.15">
      <c r="A15" s="68"/>
      <c r="B15" s="116" t="s">
        <v>174</v>
      </c>
      <c r="C15" s="117">
        <v>43007</v>
      </c>
      <c r="D15" s="68"/>
    </row>
    <row r="16" spans="1:6" ht="19.5" customHeight="1" thickBot="1" x14ac:dyDescent="0.2">
      <c r="B16" s="114" t="s">
        <v>168</v>
      </c>
      <c r="C16" s="115">
        <v>208000</v>
      </c>
    </row>
    <row r="17" spans="1:7" x14ac:dyDescent="0.15">
      <c r="B17" s="102" t="s">
        <v>172</v>
      </c>
    </row>
    <row r="18" spans="1:7" x14ac:dyDescent="0.15">
      <c r="B18" s="102"/>
    </row>
    <row r="20" spans="1:7" x14ac:dyDescent="0.15">
      <c r="A20" s="68"/>
      <c r="B20" s="120"/>
      <c r="C20" s="68"/>
      <c r="D20" s="68"/>
      <c r="E20" s="68"/>
      <c r="F20" s="68"/>
    </row>
    <row r="21" spans="1:7" ht="33" customHeight="1" x14ac:dyDescent="0.15">
      <c r="A21" s="68"/>
      <c r="B21" s="120"/>
      <c r="C21" s="68"/>
      <c r="D21" s="68"/>
      <c r="E21" s="68"/>
      <c r="F21" s="68"/>
    </row>
    <row r="22" spans="1:7" ht="17.25" customHeight="1" x14ac:dyDescent="0.15">
      <c r="A22" s="118" t="s">
        <v>175</v>
      </c>
    </row>
    <row r="23" spans="1:7" ht="16.5" customHeight="1" x14ac:dyDescent="0.15"/>
    <row r="24" spans="1:7" ht="16.5" customHeight="1" x14ac:dyDescent="0.15">
      <c r="B24" s="66" t="s">
        <v>179</v>
      </c>
    </row>
    <row r="25" spans="1:7" ht="16.5" customHeight="1" x14ac:dyDescent="0.15"/>
    <row r="26" spans="1:7" ht="17.25" customHeight="1" x14ac:dyDescent="0.15">
      <c r="B26" s="68" t="s">
        <v>176</v>
      </c>
      <c r="C26" s="68"/>
      <c r="D26" s="68"/>
      <c r="E26" s="68"/>
      <c r="F26" s="68"/>
      <c r="G26" s="68"/>
    </row>
    <row r="28" spans="1:7" x14ac:dyDescent="0.15">
      <c r="B28" s="68" t="s">
        <v>177</v>
      </c>
      <c r="C28" s="68"/>
      <c r="D28" s="68"/>
      <c r="E28" s="68"/>
      <c r="F28" s="119" t="s">
        <v>178</v>
      </c>
      <c r="G28" s="68"/>
    </row>
    <row r="30" spans="1:7" x14ac:dyDescent="0.15">
      <c r="B30" s="100"/>
    </row>
    <row r="31" spans="1:7" x14ac:dyDescent="0.15">
      <c r="B31" s="86"/>
    </row>
  </sheetData>
  <mergeCells count="2">
    <mergeCell ref="A2:B2"/>
    <mergeCell ref="A5:F5"/>
  </mergeCells>
  <phoneticPr fontId="2"/>
  <printOptions horizontalCentered="1"/>
  <pageMargins left="0.23622047244094491" right="0.23622047244094491" top="0.74803149606299213" bottom="0.74803149606299213" header="0.31496062992125984" footer="0.31496062992125984"/>
  <pageSetup paperSize="13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indexed="45"/>
    <pageSetUpPr fitToPage="1"/>
  </sheetPr>
  <dimension ref="A1:T153"/>
  <sheetViews>
    <sheetView showGridLines="0" workbookViewId="0">
      <selection activeCell="A4" sqref="A4"/>
    </sheetView>
  </sheetViews>
  <sheetFormatPr defaultRowHeight="13.5" x14ac:dyDescent="0.15"/>
  <cols>
    <col min="1" max="1" width="5.25" bestFit="1" customWidth="1"/>
    <col min="2" max="2" width="8.625" style="7" bestFit="1" customWidth="1"/>
    <col min="3" max="3" width="12.375" bestFit="1" customWidth="1"/>
    <col min="4" max="5" width="9.625" style="33" customWidth="1"/>
    <col min="6" max="6" width="5.625" style="33" customWidth="1"/>
    <col min="7" max="8" width="9.625" style="33" customWidth="1"/>
    <col min="9" max="9" width="9.625" style="9" customWidth="1"/>
    <col min="10" max="10" width="5.625" style="11" customWidth="1"/>
    <col min="11" max="11" width="9.625" style="11" customWidth="1"/>
    <col min="12" max="12" width="9.625" style="9" customWidth="1"/>
    <col min="13" max="13" width="9.625" style="7" customWidth="1"/>
    <col min="14" max="14" width="5.625" style="7" customWidth="1"/>
    <col min="15" max="15" width="12.625" style="7" customWidth="1"/>
    <col min="17" max="17" width="2.5" bestFit="1" customWidth="1"/>
    <col min="18" max="18" width="5.875" bestFit="1" customWidth="1"/>
  </cols>
  <sheetData>
    <row r="1" spans="1:20" ht="15" customHeight="1" x14ac:dyDescent="0.15">
      <c r="A1" s="216" t="s">
        <v>0</v>
      </c>
      <c r="B1" s="216"/>
      <c r="Q1" s="52">
        <v>3</v>
      </c>
      <c r="R1" s="3"/>
      <c r="S1" s="3" t="str">
        <f>VLOOKUP(Q1,Q2:T7,3,TRUE)</f>
        <v>RH</v>
      </c>
      <c r="T1" s="3" t="str">
        <f>VLOOKUP(Q1,Q2:T7,4,FALSE)</f>
        <v>本部</v>
      </c>
    </row>
    <row r="2" spans="1:20" x14ac:dyDescent="0.15">
      <c r="Q2" s="52">
        <v>1</v>
      </c>
      <c r="R2" s="6" t="s">
        <v>123</v>
      </c>
      <c r="S2" s="3" t="s">
        <v>124</v>
      </c>
      <c r="T2" s="3" t="s">
        <v>12</v>
      </c>
    </row>
    <row r="3" spans="1:20" x14ac:dyDescent="0.15">
      <c r="D3" s="230" t="s">
        <v>189</v>
      </c>
      <c r="E3" s="231"/>
      <c r="F3" s="232"/>
      <c r="G3" s="233" t="s">
        <v>190</v>
      </c>
      <c r="H3" s="228"/>
      <c r="I3" s="228"/>
      <c r="J3" s="234"/>
      <c r="K3" s="228" t="s">
        <v>191</v>
      </c>
      <c r="L3" s="228"/>
      <c r="M3" s="228"/>
      <c r="N3" s="229"/>
      <c r="Q3" s="52">
        <v>2</v>
      </c>
      <c r="R3" s="6" t="s">
        <v>125</v>
      </c>
      <c r="S3" s="3" t="s">
        <v>126</v>
      </c>
      <c r="T3" s="3" t="s">
        <v>13</v>
      </c>
    </row>
    <row r="4" spans="1:20" x14ac:dyDescent="0.15">
      <c r="A4" s="14" t="s">
        <v>21</v>
      </c>
      <c r="B4" s="15" t="s">
        <v>22</v>
      </c>
      <c r="C4" s="14" t="s">
        <v>2</v>
      </c>
      <c r="D4" s="34" t="s">
        <v>4</v>
      </c>
      <c r="E4" s="34" t="s">
        <v>134</v>
      </c>
      <c r="F4" s="38" t="s">
        <v>135</v>
      </c>
      <c r="G4" s="48" t="s">
        <v>136</v>
      </c>
      <c r="H4" s="34" t="s">
        <v>4</v>
      </c>
      <c r="I4" s="34" t="s">
        <v>134</v>
      </c>
      <c r="J4" s="49" t="s">
        <v>135</v>
      </c>
      <c r="K4" s="36" t="s">
        <v>137</v>
      </c>
      <c r="L4" s="34" t="s">
        <v>4</v>
      </c>
      <c r="M4" s="34" t="s">
        <v>134</v>
      </c>
      <c r="N4" s="34" t="s">
        <v>135</v>
      </c>
      <c r="O4" s="39"/>
      <c r="P4" s="39"/>
      <c r="Q4" s="52">
        <v>3</v>
      </c>
      <c r="R4" s="6" t="s">
        <v>127</v>
      </c>
      <c r="S4" s="3" t="s">
        <v>28</v>
      </c>
      <c r="T4" s="3" t="s">
        <v>14</v>
      </c>
    </row>
    <row r="5" spans="1:20" x14ac:dyDescent="0.15">
      <c r="A5" s="3" t="s">
        <v>192</v>
      </c>
      <c r="B5" s="6" t="s">
        <v>193</v>
      </c>
      <c r="C5" s="3" t="s">
        <v>194</v>
      </c>
      <c r="D5" s="35">
        <v>551400</v>
      </c>
      <c r="E5" s="35">
        <v>993200</v>
      </c>
      <c r="F5" s="46">
        <f>IF(E5="","",E5/D5)</f>
        <v>1.8012332245194052</v>
      </c>
      <c r="G5" s="50">
        <f>IF(E5="","",E5-I5)</f>
        <v>55000</v>
      </c>
      <c r="H5" s="42">
        <v>551400</v>
      </c>
      <c r="I5" s="41">
        <v>938200</v>
      </c>
      <c r="J5" s="51">
        <f t="shared" ref="J5:J68" si="0">IF(I5="","",I5/H5)</f>
        <v>1.701487123685165</v>
      </c>
      <c r="K5" s="47">
        <f>IF(E5="","",E5-M5)</f>
        <v>-37300</v>
      </c>
      <c r="L5" s="41">
        <v>542200</v>
      </c>
      <c r="M5" s="41">
        <v>1030500</v>
      </c>
      <c r="N5" s="40">
        <f t="shared" ref="N5:N68" si="1">IF(M5="","",M5/L5)</f>
        <v>1.9005901881224641</v>
      </c>
      <c r="O5" s="37"/>
      <c r="Q5" s="52">
        <v>4</v>
      </c>
      <c r="R5" s="6" t="s">
        <v>128</v>
      </c>
      <c r="S5" s="3" t="s">
        <v>129</v>
      </c>
      <c r="T5" s="3" t="s">
        <v>34</v>
      </c>
    </row>
    <row r="6" spans="1:20" x14ac:dyDescent="0.15">
      <c r="A6" s="3" t="s">
        <v>192</v>
      </c>
      <c r="B6" s="6" t="s">
        <v>195</v>
      </c>
      <c r="C6" s="3" t="s">
        <v>196</v>
      </c>
      <c r="D6" s="35">
        <v>377400</v>
      </c>
      <c r="E6" s="35">
        <v>679800</v>
      </c>
      <c r="F6" s="46">
        <f t="shared" ref="F6:F69" si="2">IF(E6="","",E6/D6)</f>
        <v>1.8012718600953894</v>
      </c>
      <c r="G6" s="50">
        <f t="shared" ref="G6:G69" si="3">IF(E6="","",E6-I6)</f>
        <v>300</v>
      </c>
      <c r="H6" s="42">
        <v>377400</v>
      </c>
      <c r="I6" s="41">
        <v>679500</v>
      </c>
      <c r="J6" s="51">
        <f t="shared" si="0"/>
        <v>1.8004769475357711</v>
      </c>
      <c r="K6" s="47">
        <f t="shared" ref="K6:K69" si="4">IF(E6="","",E6-M6)</f>
        <v>-18700</v>
      </c>
      <c r="L6" s="41">
        <v>367500</v>
      </c>
      <c r="M6" s="41">
        <v>698500</v>
      </c>
      <c r="N6" s="40">
        <f t="shared" si="1"/>
        <v>1.9006802721088436</v>
      </c>
      <c r="O6" s="37"/>
      <c r="Q6" s="52">
        <v>5</v>
      </c>
      <c r="R6" s="6" t="s">
        <v>130</v>
      </c>
      <c r="S6" s="3" t="s">
        <v>131</v>
      </c>
      <c r="T6" s="3" t="s">
        <v>15</v>
      </c>
    </row>
    <row r="7" spans="1:20" x14ac:dyDescent="0.15">
      <c r="A7" s="3" t="s">
        <v>192</v>
      </c>
      <c r="B7" s="6" t="s">
        <v>197</v>
      </c>
      <c r="C7" s="3" t="s">
        <v>198</v>
      </c>
      <c r="D7" s="35">
        <v>323200</v>
      </c>
      <c r="E7" s="35">
        <v>518000</v>
      </c>
      <c r="F7" s="46">
        <f t="shared" si="2"/>
        <v>1.6027227722772277</v>
      </c>
      <c r="G7" s="50">
        <f t="shared" si="3"/>
        <v>33000</v>
      </c>
      <c r="H7" s="42">
        <v>323200</v>
      </c>
      <c r="I7" s="41">
        <v>485000</v>
      </c>
      <c r="J7" s="51">
        <f t="shared" si="0"/>
        <v>1.5006188118811881</v>
      </c>
      <c r="K7" s="47">
        <f t="shared" si="4"/>
        <v>7000</v>
      </c>
      <c r="L7" s="41">
        <v>319200</v>
      </c>
      <c r="M7" s="41">
        <v>511000</v>
      </c>
      <c r="N7" s="40">
        <f t="shared" si="1"/>
        <v>1.6008771929824561</v>
      </c>
      <c r="O7" s="37"/>
      <c r="Q7" s="52">
        <v>6</v>
      </c>
      <c r="R7" s="6" t="s">
        <v>132</v>
      </c>
      <c r="S7" s="3" t="s">
        <v>133</v>
      </c>
      <c r="T7" s="3" t="s">
        <v>16</v>
      </c>
    </row>
    <row r="8" spans="1:20" x14ac:dyDescent="0.15">
      <c r="A8" s="3" t="s">
        <v>192</v>
      </c>
      <c r="B8" s="6" t="s">
        <v>199</v>
      </c>
      <c r="C8" s="3" t="s">
        <v>200</v>
      </c>
      <c r="D8" s="35">
        <v>296100</v>
      </c>
      <c r="E8" s="35">
        <v>474000</v>
      </c>
      <c r="F8" s="46">
        <f t="shared" si="2"/>
        <v>1.6008105369807497</v>
      </c>
      <c r="G8" s="50">
        <f t="shared" si="3"/>
        <v>29000</v>
      </c>
      <c r="H8" s="42">
        <v>296100</v>
      </c>
      <c r="I8" s="41">
        <v>445000</v>
      </c>
      <c r="J8" s="51">
        <f t="shared" si="0"/>
        <v>1.502870651806822</v>
      </c>
      <c r="K8" s="47">
        <f t="shared" si="4"/>
        <v>7000</v>
      </c>
      <c r="L8" s="41">
        <v>291400</v>
      </c>
      <c r="M8" s="41">
        <v>467000</v>
      </c>
      <c r="N8" s="40">
        <f t="shared" si="1"/>
        <v>1.602608098833219</v>
      </c>
      <c r="O8" s="37"/>
      <c r="Q8" s="53"/>
      <c r="R8" s="54"/>
      <c r="S8" s="23"/>
      <c r="T8" s="23"/>
    </row>
    <row r="9" spans="1:20" x14ac:dyDescent="0.15">
      <c r="A9" s="3" t="s">
        <v>192</v>
      </c>
      <c r="B9" s="6" t="s">
        <v>201</v>
      </c>
      <c r="C9" s="3" t="s">
        <v>202</v>
      </c>
      <c r="D9" s="35">
        <v>242800</v>
      </c>
      <c r="E9" s="35">
        <v>389000</v>
      </c>
      <c r="F9" s="46">
        <f t="shared" si="2"/>
        <v>1.6021416803953872</v>
      </c>
      <c r="G9" s="50">
        <f t="shared" si="3"/>
        <v>24000</v>
      </c>
      <c r="H9" s="42">
        <v>242800</v>
      </c>
      <c r="I9" s="41">
        <v>365000</v>
      </c>
      <c r="J9" s="51">
        <f t="shared" si="0"/>
        <v>1.5032948929159802</v>
      </c>
      <c r="K9" s="47">
        <f t="shared" si="4"/>
        <v>87800</v>
      </c>
      <c r="L9" s="41">
        <v>238100</v>
      </c>
      <c r="M9" s="41">
        <v>301200</v>
      </c>
      <c r="N9" s="40">
        <f t="shared" si="1"/>
        <v>1.2650146997060059</v>
      </c>
      <c r="O9" s="37"/>
      <c r="Q9" s="53"/>
      <c r="R9" s="54"/>
      <c r="S9" s="23"/>
      <c r="T9" s="23"/>
    </row>
    <row r="10" spans="1:20" x14ac:dyDescent="0.15">
      <c r="A10" s="3" t="s">
        <v>192</v>
      </c>
      <c r="B10" s="6" t="s">
        <v>203</v>
      </c>
      <c r="C10" s="3" t="s">
        <v>204</v>
      </c>
      <c r="D10" s="35">
        <v>239600</v>
      </c>
      <c r="E10" s="35">
        <v>408000</v>
      </c>
      <c r="F10" s="46">
        <f t="shared" si="2"/>
        <v>1.7028380634390652</v>
      </c>
      <c r="G10" s="50">
        <f t="shared" si="3"/>
        <v>24000</v>
      </c>
      <c r="H10" s="42">
        <v>239600</v>
      </c>
      <c r="I10" s="41">
        <v>384000</v>
      </c>
      <c r="J10" s="51">
        <f t="shared" si="0"/>
        <v>1.6026711185308848</v>
      </c>
      <c r="K10" s="47">
        <f t="shared" si="4"/>
        <v>13800</v>
      </c>
      <c r="L10" s="41">
        <v>231700</v>
      </c>
      <c r="M10" s="41">
        <v>394200</v>
      </c>
      <c r="N10" s="40">
        <f t="shared" si="1"/>
        <v>1.7013379369874839</v>
      </c>
      <c r="O10" s="37"/>
    </row>
    <row r="11" spans="1:20" x14ac:dyDescent="0.15">
      <c r="A11" s="3" t="s">
        <v>192</v>
      </c>
      <c r="B11" s="6" t="s">
        <v>205</v>
      </c>
      <c r="C11" s="3" t="s">
        <v>206</v>
      </c>
      <c r="D11" s="35">
        <v>187500</v>
      </c>
      <c r="E11" s="35">
        <v>281200</v>
      </c>
      <c r="F11" s="46">
        <f t="shared" si="2"/>
        <v>1.4997333333333334</v>
      </c>
      <c r="G11" s="50">
        <f t="shared" si="3"/>
        <v>-800</v>
      </c>
      <c r="H11" s="42">
        <v>187500</v>
      </c>
      <c r="I11" s="41">
        <v>282000</v>
      </c>
      <c r="J11" s="51">
        <f t="shared" si="0"/>
        <v>1.504</v>
      </c>
      <c r="K11" s="47">
        <f t="shared" si="4"/>
        <v>35200</v>
      </c>
      <c r="L11" s="41">
        <v>182800</v>
      </c>
      <c r="M11" s="41">
        <v>246000</v>
      </c>
      <c r="N11" s="40">
        <f t="shared" si="1"/>
        <v>1.3457330415754925</v>
      </c>
      <c r="O11" s="37"/>
    </row>
    <row r="12" spans="1:20" x14ac:dyDescent="0.15">
      <c r="A12" s="3" t="s">
        <v>192</v>
      </c>
      <c r="B12" s="6" t="s">
        <v>207</v>
      </c>
      <c r="C12" s="3" t="s">
        <v>208</v>
      </c>
      <c r="D12" s="35">
        <v>190000</v>
      </c>
      <c r="E12" s="35">
        <v>95000</v>
      </c>
      <c r="F12" s="46">
        <f t="shared" si="2"/>
        <v>0.5</v>
      </c>
      <c r="G12" s="50">
        <f t="shared" si="3"/>
        <v>0</v>
      </c>
      <c r="H12" s="42">
        <v>190000</v>
      </c>
      <c r="I12" s="41">
        <v>95000</v>
      </c>
      <c r="J12" s="51">
        <f t="shared" si="0"/>
        <v>0.5</v>
      </c>
      <c r="K12" s="47">
        <f t="shared" si="4"/>
        <v>0</v>
      </c>
      <c r="L12" s="41">
        <v>190000</v>
      </c>
      <c r="M12" s="41">
        <v>95000</v>
      </c>
      <c r="N12" s="40">
        <f t="shared" si="1"/>
        <v>0.5</v>
      </c>
      <c r="O12" s="37"/>
    </row>
    <row r="13" spans="1:20" x14ac:dyDescent="0.15">
      <c r="A13" s="3" t="s">
        <v>192</v>
      </c>
      <c r="B13" s="6" t="s">
        <v>209</v>
      </c>
      <c r="C13" s="3" t="s">
        <v>210</v>
      </c>
      <c r="D13" s="35">
        <v>380550</v>
      </c>
      <c r="E13" s="35">
        <v>608900</v>
      </c>
      <c r="F13" s="46">
        <f t="shared" si="2"/>
        <v>1.6000525555117593</v>
      </c>
      <c r="G13" s="50">
        <f t="shared" si="3"/>
        <v>114100</v>
      </c>
      <c r="H13" s="42">
        <v>380550</v>
      </c>
      <c r="I13" s="41">
        <v>494800</v>
      </c>
      <c r="J13" s="51">
        <f t="shared" si="0"/>
        <v>1.3002233609249769</v>
      </c>
      <c r="K13" s="47">
        <f t="shared" si="4"/>
        <v>76100</v>
      </c>
      <c r="L13" s="41">
        <v>380550</v>
      </c>
      <c r="M13" s="41">
        <v>532800</v>
      </c>
      <c r="N13" s="40">
        <f t="shared" si="1"/>
        <v>1.400078833267639</v>
      </c>
      <c r="O13" s="37"/>
    </row>
    <row r="14" spans="1:20" x14ac:dyDescent="0.15">
      <c r="A14" s="3"/>
      <c r="B14" s="6"/>
      <c r="C14" s="3"/>
      <c r="D14" s="35"/>
      <c r="E14" s="35"/>
      <c r="F14" s="46" t="str">
        <f t="shared" si="2"/>
        <v/>
      </c>
      <c r="G14" s="50" t="str">
        <f t="shared" si="3"/>
        <v/>
      </c>
      <c r="H14" s="42"/>
      <c r="I14" s="41"/>
      <c r="J14" s="51" t="str">
        <f t="shared" si="0"/>
        <v/>
      </c>
      <c r="K14" s="47" t="str">
        <f t="shared" si="4"/>
        <v/>
      </c>
      <c r="L14" s="41"/>
      <c r="M14" s="41"/>
      <c r="N14" s="40" t="str">
        <f t="shared" si="1"/>
        <v/>
      </c>
      <c r="O14" s="37"/>
    </row>
    <row r="15" spans="1:20" x14ac:dyDescent="0.15">
      <c r="A15" s="3"/>
      <c r="B15" s="6"/>
      <c r="C15" s="3"/>
      <c r="D15" s="35"/>
      <c r="E15" s="35"/>
      <c r="F15" s="46" t="str">
        <f t="shared" si="2"/>
        <v/>
      </c>
      <c r="G15" s="50" t="str">
        <f t="shared" si="3"/>
        <v/>
      </c>
      <c r="H15" s="42"/>
      <c r="I15" s="41"/>
      <c r="J15" s="51" t="str">
        <f t="shared" si="0"/>
        <v/>
      </c>
      <c r="K15" s="47" t="str">
        <f t="shared" si="4"/>
        <v/>
      </c>
      <c r="L15" s="41"/>
      <c r="M15" s="41"/>
      <c r="N15" s="40" t="str">
        <f t="shared" si="1"/>
        <v/>
      </c>
      <c r="O15" s="37"/>
    </row>
    <row r="16" spans="1:20" x14ac:dyDescent="0.15">
      <c r="A16" s="3"/>
      <c r="B16" s="6"/>
      <c r="C16" s="3"/>
      <c r="D16" s="35"/>
      <c r="E16" s="35"/>
      <c r="F16" s="46" t="str">
        <f t="shared" si="2"/>
        <v/>
      </c>
      <c r="G16" s="50" t="str">
        <f t="shared" si="3"/>
        <v/>
      </c>
      <c r="H16" s="42"/>
      <c r="I16" s="41"/>
      <c r="J16" s="51" t="str">
        <f t="shared" si="0"/>
        <v/>
      </c>
      <c r="K16" s="47" t="str">
        <f t="shared" si="4"/>
        <v/>
      </c>
      <c r="L16" s="41"/>
      <c r="M16" s="41"/>
      <c r="N16" s="40" t="str">
        <f t="shared" si="1"/>
        <v/>
      </c>
      <c r="O16" s="37"/>
    </row>
    <row r="17" spans="1:15" x14ac:dyDescent="0.15">
      <c r="A17" s="3"/>
      <c r="B17" s="6"/>
      <c r="C17" s="3"/>
      <c r="D17" s="35"/>
      <c r="E17" s="35"/>
      <c r="F17" s="46" t="str">
        <f t="shared" si="2"/>
        <v/>
      </c>
      <c r="G17" s="50" t="str">
        <f t="shared" si="3"/>
        <v/>
      </c>
      <c r="H17" s="42"/>
      <c r="I17" s="41"/>
      <c r="J17" s="51" t="str">
        <f t="shared" si="0"/>
        <v/>
      </c>
      <c r="K17" s="47" t="str">
        <f t="shared" si="4"/>
        <v/>
      </c>
      <c r="L17" s="41"/>
      <c r="M17" s="41"/>
      <c r="N17" s="40" t="str">
        <f t="shared" si="1"/>
        <v/>
      </c>
      <c r="O17" s="37"/>
    </row>
    <row r="18" spans="1:15" x14ac:dyDescent="0.15">
      <c r="A18" s="3"/>
      <c r="B18" s="6"/>
      <c r="C18" s="3"/>
      <c r="D18" s="35"/>
      <c r="E18" s="35"/>
      <c r="F18" s="46" t="str">
        <f t="shared" si="2"/>
        <v/>
      </c>
      <c r="G18" s="50" t="str">
        <f t="shared" si="3"/>
        <v/>
      </c>
      <c r="H18" s="42"/>
      <c r="I18" s="41"/>
      <c r="J18" s="51" t="str">
        <f t="shared" si="0"/>
        <v/>
      </c>
      <c r="K18" s="47" t="str">
        <f t="shared" si="4"/>
        <v/>
      </c>
      <c r="L18" s="41"/>
      <c r="M18" s="41"/>
      <c r="N18" s="40" t="str">
        <f t="shared" si="1"/>
        <v/>
      </c>
      <c r="O18" s="37"/>
    </row>
    <row r="19" spans="1:15" x14ac:dyDescent="0.15">
      <c r="A19" s="3"/>
      <c r="B19" s="6"/>
      <c r="C19" s="3"/>
      <c r="D19" s="35"/>
      <c r="E19" s="35"/>
      <c r="F19" s="46" t="str">
        <f t="shared" si="2"/>
        <v/>
      </c>
      <c r="G19" s="50" t="str">
        <f t="shared" si="3"/>
        <v/>
      </c>
      <c r="H19" s="42"/>
      <c r="I19" s="41"/>
      <c r="J19" s="51" t="str">
        <f t="shared" si="0"/>
        <v/>
      </c>
      <c r="K19" s="47" t="str">
        <f t="shared" si="4"/>
        <v/>
      </c>
      <c r="L19" s="41"/>
      <c r="M19" s="41"/>
      <c r="N19" s="40" t="str">
        <f t="shared" si="1"/>
        <v/>
      </c>
      <c r="O19" s="37"/>
    </row>
    <row r="20" spans="1:15" x14ac:dyDescent="0.15">
      <c r="A20" s="3"/>
      <c r="B20" s="6"/>
      <c r="C20" s="3"/>
      <c r="D20" s="35"/>
      <c r="E20" s="35"/>
      <c r="F20" s="46" t="str">
        <f t="shared" si="2"/>
        <v/>
      </c>
      <c r="G20" s="50" t="str">
        <f t="shared" si="3"/>
        <v/>
      </c>
      <c r="H20" s="42"/>
      <c r="I20" s="41"/>
      <c r="J20" s="51" t="str">
        <f t="shared" si="0"/>
        <v/>
      </c>
      <c r="K20" s="47" t="str">
        <f t="shared" si="4"/>
        <v/>
      </c>
      <c r="L20" s="41"/>
      <c r="M20" s="41"/>
      <c r="N20" s="40" t="str">
        <f t="shared" si="1"/>
        <v/>
      </c>
      <c r="O20" s="37"/>
    </row>
    <row r="21" spans="1:15" x14ac:dyDescent="0.15">
      <c r="A21" s="3"/>
      <c r="B21" s="6"/>
      <c r="C21" s="3"/>
      <c r="D21" s="35"/>
      <c r="E21" s="35"/>
      <c r="F21" s="46" t="str">
        <f t="shared" si="2"/>
        <v/>
      </c>
      <c r="G21" s="50" t="str">
        <f t="shared" si="3"/>
        <v/>
      </c>
      <c r="H21" s="42"/>
      <c r="I21" s="41"/>
      <c r="J21" s="51" t="str">
        <f t="shared" si="0"/>
        <v/>
      </c>
      <c r="K21" s="47" t="str">
        <f t="shared" si="4"/>
        <v/>
      </c>
      <c r="L21" s="41"/>
      <c r="M21" s="41"/>
      <c r="N21" s="40" t="str">
        <f t="shared" si="1"/>
        <v/>
      </c>
      <c r="O21" s="37"/>
    </row>
    <row r="22" spans="1:15" x14ac:dyDescent="0.15">
      <c r="A22" s="3"/>
      <c r="B22" s="6"/>
      <c r="C22" s="3"/>
      <c r="D22" s="35"/>
      <c r="E22" s="35"/>
      <c r="F22" s="46" t="str">
        <f t="shared" si="2"/>
        <v/>
      </c>
      <c r="G22" s="50" t="str">
        <f>IF(E22="","",E22-I22)</f>
        <v/>
      </c>
      <c r="H22" s="42"/>
      <c r="I22" s="41"/>
      <c r="J22" s="51" t="str">
        <f t="shared" si="0"/>
        <v/>
      </c>
      <c r="K22" s="47" t="str">
        <f t="shared" si="4"/>
        <v/>
      </c>
      <c r="L22" s="41"/>
      <c r="M22" s="41"/>
      <c r="N22" s="40" t="str">
        <f t="shared" si="1"/>
        <v/>
      </c>
      <c r="O22" s="37"/>
    </row>
    <row r="23" spans="1:15" x14ac:dyDescent="0.15">
      <c r="A23" s="3"/>
      <c r="B23" s="6"/>
      <c r="C23" s="3"/>
      <c r="D23" s="35"/>
      <c r="E23" s="35"/>
      <c r="F23" s="46" t="str">
        <f t="shared" si="2"/>
        <v/>
      </c>
      <c r="G23" s="50" t="str">
        <f t="shared" si="3"/>
        <v/>
      </c>
      <c r="H23" s="42"/>
      <c r="I23" s="41"/>
      <c r="J23" s="51" t="str">
        <f t="shared" si="0"/>
        <v/>
      </c>
      <c r="K23" s="47" t="str">
        <f t="shared" si="4"/>
        <v/>
      </c>
      <c r="L23" s="41"/>
      <c r="M23" s="41"/>
      <c r="N23" s="40" t="str">
        <f t="shared" si="1"/>
        <v/>
      </c>
      <c r="O23" s="37"/>
    </row>
    <row r="24" spans="1:15" x14ac:dyDescent="0.15">
      <c r="A24" s="3"/>
      <c r="B24" s="6"/>
      <c r="C24" s="3"/>
      <c r="D24" s="35"/>
      <c r="E24" s="35"/>
      <c r="F24" s="46" t="str">
        <f t="shared" si="2"/>
        <v/>
      </c>
      <c r="G24" s="50" t="str">
        <f t="shared" si="3"/>
        <v/>
      </c>
      <c r="H24" s="42"/>
      <c r="I24" s="41"/>
      <c r="J24" s="51" t="str">
        <f t="shared" si="0"/>
        <v/>
      </c>
      <c r="K24" s="47" t="str">
        <f t="shared" si="4"/>
        <v/>
      </c>
      <c r="L24" s="41"/>
      <c r="M24" s="41"/>
      <c r="N24" s="40" t="str">
        <f t="shared" si="1"/>
        <v/>
      </c>
      <c r="O24" s="37"/>
    </row>
    <row r="25" spans="1:15" x14ac:dyDescent="0.15">
      <c r="A25" s="3"/>
      <c r="B25" s="6"/>
      <c r="C25" s="3"/>
      <c r="D25" s="35"/>
      <c r="E25" s="35"/>
      <c r="F25" s="46" t="str">
        <f t="shared" si="2"/>
        <v/>
      </c>
      <c r="G25" s="50" t="str">
        <f t="shared" si="3"/>
        <v/>
      </c>
      <c r="H25" s="42"/>
      <c r="I25" s="41"/>
      <c r="J25" s="51" t="str">
        <f t="shared" si="0"/>
        <v/>
      </c>
      <c r="K25" s="47" t="str">
        <f t="shared" si="4"/>
        <v/>
      </c>
      <c r="L25" s="41"/>
      <c r="M25" s="41"/>
      <c r="N25" s="40" t="str">
        <f t="shared" si="1"/>
        <v/>
      </c>
      <c r="O25" s="37"/>
    </row>
    <row r="26" spans="1:15" x14ac:dyDescent="0.15">
      <c r="A26" s="3"/>
      <c r="B26" s="6"/>
      <c r="C26" s="3"/>
      <c r="D26" s="35"/>
      <c r="E26" s="35"/>
      <c r="F26" s="46" t="str">
        <f t="shared" si="2"/>
        <v/>
      </c>
      <c r="G26" s="50" t="str">
        <f t="shared" si="3"/>
        <v/>
      </c>
      <c r="H26" s="42"/>
      <c r="I26" s="41"/>
      <c r="J26" s="51" t="str">
        <f t="shared" si="0"/>
        <v/>
      </c>
      <c r="K26" s="47" t="str">
        <f t="shared" si="4"/>
        <v/>
      </c>
      <c r="L26" s="41"/>
      <c r="M26" s="41"/>
      <c r="N26" s="40" t="str">
        <f t="shared" si="1"/>
        <v/>
      </c>
      <c r="O26" s="37"/>
    </row>
    <row r="27" spans="1:15" x14ac:dyDescent="0.15">
      <c r="A27" s="3"/>
      <c r="B27" s="6"/>
      <c r="C27" s="3"/>
      <c r="D27" s="35"/>
      <c r="E27" s="35"/>
      <c r="F27" s="46" t="str">
        <f t="shared" si="2"/>
        <v/>
      </c>
      <c r="G27" s="50" t="str">
        <f t="shared" si="3"/>
        <v/>
      </c>
      <c r="H27" s="42"/>
      <c r="I27" s="41"/>
      <c r="J27" s="51" t="str">
        <f t="shared" si="0"/>
        <v/>
      </c>
      <c r="K27" s="47" t="str">
        <f t="shared" si="4"/>
        <v/>
      </c>
      <c r="L27" s="41"/>
      <c r="M27" s="41"/>
      <c r="N27" s="40" t="str">
        <f t="shared" si="1"/>
        <v/>
      </c>
      <c r="O27" s="37"/>
    </row>
    <row r="28" spans="1:15" x14ac:dyDescent="0.15">
      <c r="A28" s="3"/>
      <c r="B28" s="6"/>
      <c r="C28" s="3"/>
      <c r="D28" s="35"/>
      <c r="E28" s="35"/>
      <c r="F28" s="46" t="str">
        <f t="shared" si="2"/>
        <v/>
      </c>
      <c r="G28" s="50" t="str">
        <f t="shared" si="3"/>
        <v/>
      </c>
      <c r="H28" s="42"/>
      <c r="I28" s="41"/>
      <c r="J28" s="51" t="str">
        <f t="shared" si="0"/>
        <v/>
      </c>
      <c r="K28" s="47" t="str">
        <f t="shared" si="4"/>
        <v/>
      </c>
      <c r="L28" s="41"/>
      <c r="M28" s="41"/>
      <c r="N28" s="40" t="str">
        <f t="shared" si="1"/>
        <v/>
      </c>
      <c r="O28" s="37"/>
    </row>
    <row r="29" spans="1:15" x14ac:dyDescent="0.15">
      <c r="A29" s="3"/>
      <c r="B29" s="6"/>
      <c r="C29" s="3"/>
      <c r="D29" s="35"/>
      <c r="E29" s="35"/>
      <c r="F29" s="46" t="str">
        <f t="shared" si="2"/>
        <v/>
      </c>
      <c r="G29" s="50" t="str">
        <f t="shared" si="3"/>
        <v/>
      </c>
      <c r="H29" s="42"/>
      <c r="I29" s="41"/>
      <c r="J29" s="51" t="str">
        <f t="shared" si="0"/>
        <v/>
      </c>
      <c r="K29" s="47" t="str">
        <f t="shared" si="4"/>
        <v/>
      </c>
      <c r="L29" s="41"/>
      <c r="M29" s="41"/>
      <c r="N29" s="40" t="str">
        <f t="shared" si="1"/>
        <v/>
      </c>
      <c r="O29" s="37"/>
    </row>
    <row r="30" spans="1:15" x14ac:dyDescent="0.15">
      <c r="A30" s="3"/>
      <c r="B30" s="6"/>
      <c r="C30" s="3"/>
      <c r="D30" s="35"/>
      <c r="E30" s="35"/>
      <c r="F30" s="46" t="str">
        <f t="shared" si="2"/>
        <v/>
      </c>
      <c r="G30" s="50" t="str">
        <f t="shared" si="3"/>
        <v/>
      </c>
      <c r="H30" s="42"/>
      <c r="I30" s="41"/>
      <c r="J30" s="51" t="str">
        <f t="shared" si="0"/>
        <v/>
      </c>
      <c r="K30" s="47" t="str">
        <f t="shared" si="4"/>
        <v/>
      </c>
      <c r="L30" s="41"/>
      <c r="M30" s="41"/>
      <c r="N30" s="40" t="str">
        <f t="shared" si="1"/>
        <v/>
      </c>
      <c r="O30" s="37"/>
    </row>
    <row r="31" spans="1:15" x14ac:dyDescent="0.15">
      <c r="A31" s="3"/>
      <c r="B31" s="6"/>
      <c r="C31" s="3"/>
      <c r="D31" s="35"/>
      <c r="E31" s="35"/>
      <c r="F31" s="46" t="str">
        <f t="shared" si="2"/>
        <v/>
      </c>
      <c r="G31" s="50" t="str">
        <f t="shared" si="3"/>
        <v/>
      </c>
      <c r="H31" s="42"/>
      <c r="I31" s="41"/>
      <c r="J31" s="51" t="str">
        <f t="shared" si="0"/>
        <v/>
      </c>
      <c r="K31" s="47" t="str">
        <f t="shared" si="4"/>
        <v/>
      </c>
      <c r="L31" s="41"/>
      <c r="M31" s="41"/>
      <c r="N31" s="40" t="str">
        <f t="shared" si="1"/>
        <v/>
      </c>
      <c r="O31" s="37"/>
    </row>
    <row r="32" spans="1:15" x14ac:dyDescent="0.15">
      <c r="A32" s="3"/>
      <c r="B32" s="6"/>
      <c r="C32" s="3"/>
      <c r="D32" s="35"/>
      <c r="E32" s="35"/>
      <c r="F32" s="46" t="str">
        <f t="shared" si="2"/>
        <v/>
      </c>
      <c r="G32" s="50" t="str">
        <f t="shared" si="3"/>
        <v/>
      </c>
      <c r="H32" s="42"/>
      <c r="I32" s="41"/>
      <c r="J32" s="51" t="str">
        <f t="shared" si="0"/>
        <v/>
      </c>
      <c r="K32" s="47" t="str">
        <f t="shared" si="4"/>
        <v/>
      </c>
      <c r="L32" s="41"/>
      <c r="M32" s="41"/>
      <c r="N32" s="40" t="str">
        <f t="shared" si="1"/>
        <v/>
      </c>
      <c r="O32" s="37"/>
    </row>
    <row r="33" spans="1:15" x14ac:dyDescent="0.15">
      <c r="A33" s="3"/>
      <c r="B33" s="6"/>
      <c r="C33" s="3"/>
      <c r="D33" s="35"/>
      <c r="E33" s="35"/>
      <c r="F33" s="46" t="str">
        <f t="shared" si="2"/>
        <v/>
      </c>
      <c r="G33" s="50" t="str">
        <f t="shared" si="3"/>
        <v/>
      </c>
      <c r="H33" s="42"/>
      <c r="I33" s="41"/>
      <c r="J33" s="51" t="str">
        <f t="shared" si="0"/>
        <v/>
      </c>
      <c r="K33" s="47" t="str">
        <f t="shared" si="4"/>
        <v/>
      </c>
      <c r="L33" s="41"/>
      <c r="M33" s="41"/>
      <c r="N33" s="40" t="str">
        <f t="shared" si="1"/>
        <v/>
      </c>
      <c r="O33" s="37"/>
    </row>
    <row r="34" spans="1:15" x14ac:dyDescent="0.15">
      <c r="A34" s="3"/>
      <c r="B34" s="6"/>
      <c r="C34" s="3"/>
      <c r="D34" s="35"/>
      <c r="E34" s="35"/>
      <c r="F34" s="46" t="str">
        <f t="shared" si="2"/>
        <v/>
      </c>
      <c r="G34" s="50" t="str">
        <f t="shared" si="3"/>
        <v/>
      </c>
      <c r="H34" s="42"/>
      <c r="I34" s="41"/>
      <c r="J34" s="51" t="str">
        <f t="shared" si="0"/>
        <v/>
      </c>
      <c r="K34" s="47" t="str">
        <f t="shared" si="4"/>
        <v/>
      </c>
      <c r="L34" s="41"/>
      <c r="M34" s="41"/>
      <c r="N34" s="40" t="str">
        <f t="shared" si="1"/>
        <v/>
      </c>
      <c r="O34" s="37"/>
    </row>
    <row r="35" spans="1:15" x14ac:dyDescent="0.15">
      <c r="A35" s="3"/>
      <c r="B35" s="6"/>
      <c r="C35" s="3"/>
      <c r="D35" s="35"/>
      <c r="E35" s="35"/>
      <c r="F35" s="46" t="str">
        <f t="shared" si="2"/>
        <v/>
      </c>
      <c r="G35" s="50" t="str">
        <f t="shared" si="3"/>
        <v/>
      </c>
      <c r="H35" s="42"/>
      <c r="I35" s="41"/>
      <c r="J35" s="51" t="str">
        <f t="shared" si="0"/>
        <v/>
      </c>
      <c r="K35" s="47" t="str">
        <f t="shared" si="4"/>
        <v/>
      </c>
      <c r="L35" s="41"/>
      <c r="M35" s="41"/>
      <c r="N35" s="40" t="str">
        <f t="shared" si="1"/>
        <v/>
      </c>
      <c r="O35" s="37"/>
    </row>
    <row r="36" spans="1:15" x14ac:dyDescent="0.15">
      <c r="A36" s="3"/>
      <c r="B36" s="6"/>
      <c r="C36" s="3"/>
      <c r="D36" s="35"/>
      <c r="E36" s="35"/>
      <c r="F36" s="46" t="str">
        <f t="shared" si="2"/>
        <v/>
      </c>
      <c r="G36" s="50" t="str">
        <f t="shared" si="3"/>
        <v/>
      </c>
      <c r="H36" s="42"/>
      <c r="I36" s="41"/>
      <c r="J36" s="51" t="str">
        <f t="shared" si="0"/>
        <v/>
      </c>
      <c r="K36" s="47" t="str">
        <f t="shared" si="4"/>
        <v/>
      </c>
      <c r="L36" s="41"/>
      <c r="M36" s="41"/>
      <c r="N36" s="40" t="str">
        <f t="shared" si="1"/>
        <v/>
      </c>
      <c r="O36" s="37"/>
    </row>
    <row r="37" spans="1:15" x14ac:dyDescent="0.15">
      <c r="A37" s="3"/>
      <c r="B37" s="6"/>
      <c r="C37" s="3"/>
      <c r="D37" s="35"/>
      <c r="E37" s="35"/>
      <c r="F37" s="46" t="str">
        <f t="shared" si="2"/>
        <v/>
      </c>
      <c r="G37" s="50" t="str">
        <f t="shared" si="3"/>
        <v/>
      </c>
      <c r="H37" s="42"/>
      <c r="I37" s="41"/>
      <c r="J37" s="51" t="str">
        <f t="shared" si="0"/>
        <v/>
      </c>
      <c r="K37" s="47" t="str">
        <f t="shared" si="4"/>
        <v/>
      </c>
      <c r="L37" s="41"/>
      <c r="M37" s="41"/>
      <c r="N37" s="40" t="str">
        <f t="shared" si="1"/>
        <v/>
      </c>
      <c r="O37" s="37"/>
    </row>
    <row r="38" spans="1:15" x14ac:dyDescent="0.15">
      <c r="A38" s="3"/>
      <c r="B38" s="6"/>
      <c r="C38" s="3"/>
      <c r="D38" s="35"/>
      <c r="E38" s="35"/>
      <c r="F38" s="46" t="str">
        <f t="shared" si="2"/>
        <v/>
      </c>
      <c r="G38" s="50" t="str">
        <f t="shared" si="3"/>
        <v/>
      </c>
      <c r="H38" s="42"/>
      <c r="I38" s="41"/>
      <c r="J38" s="51" t="str">
        <f t="shared" si="0"/>
        <v/>
      </c>
      <c r="K38" s="47" t="str">
        <f t="shared" si="4"/>
        <v/>
      </c>
      <c r="L38" s="41"/>
      <c r="M38" s="41"/>
      <c r="N38" s="40" t="str">
        <f t="shared" si="1"/>
        <v/>
      </c>
      <c r="O38" s="37"/>
    </row>
    <row r="39" spans="1:15" x14ac:dyDescent="0.15">
      <c r="A39" s="3"/>
      <c r="B39" s="6"/>
      <c r="C39" s="3"/>
      <c r="D39" s="35"/>
      <c r="E39" s="35"/>
      <c r="F39" s="46" t="str">
        <f t="shared" si="2"/>
        <v/>
      </c>
      <c r="G39" s="50" t="str">
        <f t="shared" si="3"/>
        <v/>
      </c>
      <c r="H39" s="42"/>
      <c r="I39" s="41"/>
      <c r="J39" s="51" t="str">
        <f t="shared" si="0"/>
        <v/>
      </c>
      <c r="K39" s="47" t="str">
        <f t="shared" si="4"/>
        <v/>
      </c>
      <c r="L39" s="41"/>
      <c r="M39" s="41"/>
      <c r="N39" s="40" t="str">
        <f t="shared" si="1"/>
        <v/>
      </c>
      <c r="O39" s="37"/>
    </row>
    <row r="40" spans="1:15" x14ac:dyDescent="0.15">
      <c r="A40" s="3"/>
      <c r="B40" s="6"/>
      <c r="C40" s="3"/>
      <c r="D40" s="35"/>
      <c r="E40" s="35"/>
      <c r="F40" s="46" t="str">
        <f t="shared" si="2"/>
        <v/>
      </c>
      <c r="G40" s="50" t="str">
        <f t="shared" si="3"/>
        <v/>
      </c>
      <c r="H40" s="42"/>
      <c r="I40" s="41"/>
      <c r="J40" s="51" t="str">
        <f t="shared" si="0"/>
        <v/>
      </c>
      <c r="K40" s="47" t="str">
        <f t="shared" si="4"/>
        <v/>
      </c>
      <c r="L40" s="41"/>
      <c r="M40" s="41"/>
      <c r="N40" s="40" t="str">
        <f t="shared" si="1"/>
        <v/>
      </c>
      <c r="O40" s="37"/>
    </row>
    <row r="41" spans="1:15" x14ac:dyDescent="0.15">
      <c r="A41" s="3"/>
      <c r="B41" s="6"/>
      <c r="C41" s="3"/>
      <c r="D41" s="35"/>
      <c r="E41" s="35"/>
      <c r="F41" s="46" t="str">
        <f t="shared" si="2"/>
        <v/>
      </c>
      <c r="G41" s="50" t="str">
        <f t="shared" si="3"/>
        <v/>
      </c>
      <c r="H41" s="42"/>
      <c r="I41" s="41"/>
      <c r="J41" s="51" t="str">
        <f t="shared" si="0"/>
        <v/>
      </c>
      <c r="K41" s="47" t="str">
        <f t="shared" si="4"/>
        <v/>
      </c>
      <c r="L41" s="41"/>
      <c r="M41" s="41"/>
      <c r="N41" s="40" t="str">
        <f t="shared" si="1"/>
        <v/>
      </c>
      <c r="O41" s="37"/>
    </row>
    <row r="42" spans="1:15" x14ac:dyDescent="0.15">
      <c r="A42" s="3"/>
      <c r="B42" s="6"/>
      <c r="C42" s="3"/>
      <c r="D42" s="35"/>
      <c r="E42" s="35"/>
      <c r="F42" s="46" t="str">
        <f t="shared" si="2"/>
        <v/>
      </c>
      <c r="G42" s="50" t="str">
        <f t="shared" si="3"/>
        <v/>
      </c>
      <c r="H42" s="42"/>
      <c r="I42" s="41"/>
      <c r="J42" s="51" t="str">
        <f t="shared" si="0"/>
        <v/>
      </c>
      <c r="K42" s="47" t="str">
        <f t="shared" si="4"/>
        <v/>
      </c>
      <c r="L42" s="41"/>
      <c r="M42" s="41"/>
      <c r="N42" s="40" t="str">
        <f t="shared" si="1"/>
        <v/>
      </c>
      <c r="O42" s="37"/>
    </row>
    <row r="43" spans="1:15" x14ac:dyDescent="0.15">
      <c r="A43" s="3"/>
      <c r="B43" s="6"/>
      <c r="C43" s="3"/>
      <c r="D43" s="35"/>
      <c r="E43" s="35"/>
      <c r="F43" s="46" t="str">
        <f t="shared" si="2"/>
        <v/>
      </c>
      <c r="G43" s="50" t="str">
        <f t="shared" si="3"/>
        <v/>
      </c>
      <c r="H43" s="42"/>
      <c r="I43" s="41"/>
      <c r="J43" s="51" t="str">
        <f t="shared" si="0"/>
        <v/>
      </c>
      <c r="K43" s="47" t="str">
        <f t="shared" si="4"/>
        <v/>
      </c>
      <c r="L43" s="41"/>
      <c r="M43" s="41"/>
      <c r="N43" s="40" t="str">
        <f t="shared" si="1"/>
        <v/>
      </c>
      <c r="O43" s="37"/>
    </row>
    <row r="44" spans="1:15" x14ac:dyDescent="0.15">
      <c r="A44" s="3"/>
      <c r="B44" s="6"/>
      <c r="C44" s="3"/>
      <c r="D44" s="35"/>
      <c r="E44" s="35"/>
      <c r="F44" s="46" t="str">
        <f t="shared" si="2"/>
        <v/>
      </c>
      <c r="G44" s="50" t="str">
        <f t="shared" si="3"/>
        <v/>
      </c>
      <c r="H44" s="42"/>
      <c r="I44" s="41"/>
      <c r="J44" s="51" t="str">
        <f t="shared" si="0"/>
        <v/>
      </c>
      <c r="K44" s="47" t="str">
        <f t="shared" si="4"/>
        <v/>
      </c>
      <c r="L44" s="41"/>
      <c r="M44" s="41"/>
      <c r="N44" s="40" t="str">
        <f t="shared" si="1"/>
        <v/>
      </c>
      <c r="O44" s="37"/>
    </row>
    <row r="45" spans="1:15" x14ac:dyDescent="0.15">
      <c r="A45" s="3"/>
      <c r="B45" s="6"/>
      <c r="C45" s="3"/>
      <c r="D45" s="35"/>
      <c r="E45" s="35"/>
      <c r="F45" s="46" t="str">
        <f t="shared" si="2"/>
        <v/>
      </c>
      <c r="G45" s="50" t="str">
        <f t="shared" si="3"/>
        <v/>
      </c>
      <c r="H45" s="42"/>
      <c r="I45" s="41"/>
      <c r="J45" s="51" t="str">
        <f t="shared" si="0"/>
        <v/>
      </c>
      <c r="K45" s="47" t="str">
        <f t="shared" si="4"/>
        <v/>
      </c>
      <c r="L45" s="41"/>
      <c r="M45" s="41"/>
      <c r="N45" s="40" t="str">
        <f t="shared" si="1"/>
        <v/>
      </c>
      <c r="O45" s="37"/>
    </row>
    <row r="46" spans="1:15" x14ac:dyDescent="0.15">
      <c r="A46" s="3"/>
      <c r="B46" s="6"/>
      <c r="C46" s="3"/>
      <c r="D46" s="35"/>
      <c r="E46" s="35"/>
      <c r="F46" s="46" t="str">
        <f t="shared" si="2"/>
        <v/>
      </c>
      <c r="G46" s="50" t="str">
        <f t="shared" si="3"/>
        <v/>
      </c>
      <c r="H46" s="42"/>
      <c r="I46" s="41"/>
      <c r="J46" s="51" t="str">
        <f t="shared" si="0"/>
        <v/>
      </c>
      <c r="K46" s="47" t="str">
        <f t="shared" si="4"/>
        <v/>
      </c>
      <c r="L46" s="41"/>
      <c r="M46" s="41"/>
      <c r="N46" s="40" t="str">
        <f t="shared" si="1"/>
        <v/>
      </c>
      <c r="O46" s="37"/>
    </row>
    <row r="47" spans="1:15" x14ac:dyDescent="0.15">
      <c r="A47" s="3"/>
      <c r="B47" s="6"/>
      <c r="C47" s="3"/>
      <c r="D47" s="35"/>
      <c r="E47" s="35"/>
      <c r="F47" s="46" t="str">
        <f t="shared" si="2"/>
        <v/>
      </c>
      <c r="G47" s="50" t="str">
        <f t="shared" si="3"/>
        <v/>
      </c>
      <c r="H47" s="42"/>
      <c r="I47" s="41"/>
      <c r="J47" s="51" t="str">
        <f t="shared" si="0"/>
        <v/>
      </c>
      <c r="K47" s="47" t="str">
        <f t="shared" si="4"/>
        <v/>
      </c>
      <c r="L47" s="41"/>
      <c r="M47" s="41"/>
      <c r="N47" s="40" t="str">
        <f t="shared" si="1"/>
        <v/>
      </c>
      <c r="O47" s="37"/>
    </row>
    <row r="48" spans="1:15" x14ac:dyDescent="0.15">
      <c r="A48" s="3"/>
      <c r="B48" s="6"/>
      <c r="C48" s="3"/>
      <c r="D48" s="35"/>
      <c r="E48" s="35"/>
      <c r="F48" s="46" t="str">
        <f t="shared" si="2"/>
        <v/>
      </c>
      <c r="G48" s="50" t="str">
        <f t="shared" si="3"/>
        <v/>
      </c>
      <c r="H48" s="42"/>
      <c r="I48" s="41"/>
      <c r="J48" s="51" t="str">
        <f t="shared" si="0"/>
        <v/>
      </c>
      <c r="K48" s="47" t="str">
        <f t="shared" si="4"/>
        <v/>
      </c>
      <c r="L48" s="41"/>
      <c r="M48" s="41"/>
      <c r="N48" s="40" t="str">
        <f t="shared" si="1"/>
        <v/>
      </c>
      <c r="O48" s="37"/>
    </row>
    <row r="49" spans="1:15" x14ac:dyDescent="0.15">
      <c r="A49" s="3"/>
      <c r="B49" s="6"/>
      <c r="C49" s="3"/>
      <c r="D49" s="35"/>
      <c r="E49" s="35"/>
      <c r="F49" s="46" t="str">
        <f t="shared" si="2"/>
        <v/>
      </c>
      <c r="G49" s="50" t="str">
        <f t="shared" si="3"/>
        <v/>
      </c>
      <c r="H49" s="42"/>
      <c r="I49" s="41"/>
      <c r="J49" s="51" t="str">
        <f t="shared" si="0"/>
        <v/>
      </c>
      <c r="K49" s="47" t="str">
        <f t="shared" si="4"/>
        <v/>
      </c>
      <c r="L49" s="41"/>
      <c r="M49" s="41"/>
      <c r="N49" s="40" t="str">
        <f t="shared" si="1"/>
        <v/>
      </c>
      <c r="O49" s="37"/>
    </row>
    <row r="50" spans="1:15" x14ac:dyDescent="0.15">
      <c r="A50" s="3"/>
      <c r="B50" s="6"/>
      <c r="C50" s="3"/>
      <c r="D50" s="35"/>
      <c r="E50" s="35"/>
      <c r="F50" s="46" t="str">
        <f t="shared" si="2"/>
        <v/>
      </c>
      <c r="G50" s="50" t="str">
        <f t="shared" si="3"/>
        <v/>
      </c>
      <c r="H50" s="42"/>
      <c r="I50" s="41"/>
      <c r="J50" s="51" t="str">
        <f t="shared" si="0"/>
        <v/>
      </c>
      <c r="K50" s="47" t="str">
        <f t="shared" si="4"/>
        <v/>
      </c>
      <c r="L50" s="41"/>
      <c r="M50" s="41"/>
      <c r="N50" s="40" t="str">
        <f t="shared" si="1"/>
        <v/>
      </c>
      <c r="O50" s="37"/>
    </row>
    <row r="51" spans="1:15" x14ac:dyDescent="0.15">
      <c r="A51" s="3"/>
      <c r="B51" s="6"/>
      <c r="C51" s="3"/>
      <c r="D51" s="35"/>
      <c r="E51" s="35"/>
      <c r="F51" s="46" t="str">
        <f t="shared" si="2"/>
        <v/>
      </c>
      <c r="G51" s="50" t="str">
        <f t="shared" si="3"/>
        <v/>
      </c>
      <c r="H51" s="42"/>
      <c r="I51" s="41"/>
      <c r="J51" s="51" t="str">
        <f t="shared" si="0"/>
        <v/>
      </c>
      <c r="K51" s="47" t="str">
        <f t="shared" si="4"/>
        <v/>
      </c>
      <c r="L51" s="41"/>
      <c r="M51" s="41"/>
      <c r="N51" s="40" t="str">
        <f t="shared" si="1"/>
        <v/>
      </c>
      <c r="O51" s="37"/>
    </row>
    <row r="52" spans="1:15" x14ac:dyDescent="0.15">
      <c r="A52" s="3"/>
      <c r="B52" s="6"/>
      <c r="C52" s="3"/>
      <c r="D52" s="35"/>
      <c r="E52" s="35"/>
      <c r="F52" s="46" t="str">
        <f t="shared" si="2"/>
        <v/>
      </c>
      <c r="G52" s="50" t="str">
        <f t="shared" si="3"/>
        <v/>
      </c>
      <c r="H52" s="42"/>
      <c r="I52" s="41"/>
      <c r="J52" s="51" t="str">
        <f t="shared" si="0"/>
        <v/>
      </c>
      <c r="K52" s="47" t="str">
        <f t="shared" si="4"/>
        <v/>
      </c>
      <c r="L52" s="41"/>
      <c r="M52" s="41"/>
      <c r="N52" s="40" t="str">
        <f t="shared" si="1"/>
        <v/>
      </c>
      <c r="O52" s="37"/>
    </row>
    <row r="53" spans="1:15" x14ac:dyDescent="0.15">
      <c r="A53" s="3"/>
      <c r="B53" s="6"/>
      <c r="C53" s="3"/>
      <c r="D53" s="35"/>
      <c r="E53" s="35"/>
      <c r="F53" s="46" t="str">
        <f t="shared" si="2"/>
        <v/>
      </c>
      <c r="G53" s="50" t="str">
        <f t="shared" si="3"/>
        <v/>
      </c>
      <c r="H53" s="42"/>
      <c r="I53" s="41"/>
      <c r="J53" s="51" t="str">
        <f t="shared" si="0"/>
        <v/>
      </c>
      <c r="K53" s="47" t="str">
        <f t="shared" si="4"/>
        <v/>
      </c>
      <c r="L53" s="41"/>
      <c r="M53" s="41"/>
      <c r="N53" s="40" t="str">
        <f t="shared" si="1"/>
        <v/>
      </c>
      <c r="O53" s="37"/>
    </row>
    <row r="54" spans="1:15" x14ac:dyDescent="0.15">
      <c r="A54" s="3"/>
      <c r="B54" s="6"/>
      <c r="C54" s="3"/>
      <c r="D54" s="35"/>
      <c r="E54" s="35"/>
      <c r="F54" s="46" t="str">
        <f t="shared" si="2"/>
        <v/>
      </c>
      <c r="G54" s="50" t="str">
        <f t="shared" si="3"/>
        <v/>
      </c>
      <c r="H54" s="42"/>
      <c r="I54" s="41"/>
      <c r="J54" s="51" t="str">
        <f t="shared" si="0"/>
        <v/>
      </c>
      <c r="K54" s="47" t="str">
        <f t="shared" si="4"/>
        <v/>
      </c>
      <c r="L54" s="41"/>
      <c r="M54" s="41"/>
      <c r="N54" s="40" t="str">
        <f t="shared" si="1"/>
        <v/>
      </c>
      <c r="O54" s="37"/>
    </row>
    <row r="55" spans="1:15" x14ac:dyDescent="0.15">
      <c r="A55" s="3"/>
      <c r="B55" s="6"/>
      <c r="C55" s="3"/>
      <c r="D55" s="35"/>
      <c r="E55" s="35"/>
      <c r="F55" s="46" t="str">
        <f t="shared" si="2"/>
        <v/>
      </c>
      <c r="G55" s="50" t="str">
        <f t="shared" si="3"/>
        <v/>
      </c>
      <c r="H55" s="42"/>
      <c r="I55" s="41"/>
      <c r="J55" s="51" t="str">
        <f t="shared" si="0"/>
        <v/>
      </c>
      <c r="K55" s="47" t="str">
        <f t="shared" si="4"/>
        <v/>
      </c>
      <c r="L55" s="41"/>
      <c r="M55" s="41"/>
      <c r="N55" s="40" t="str">
        <f t="shared" si="1"/>
        <v/>
      </c>
      <c r="O55" s="37"/>
    </row>
    <row r="56" spans="1:15" x14ac:dyDescent="0.15">
      <c r="A56" s="3"/>
      <c r="B56" s="6"/>
      <c r="C56" s="3"/>
      <c r="D56" s="35"/>
      <c r="E56" s="35"/>
      <c r="F56" s="46" t="str">
        <f t="shared" si="2"/>
        <v/>
      </c>
      <c r="G56" s="50" t="str">
        <f t="shared" si="3"/>
        <v/>
      </c>
      <c r="H56" s="42"/>
      <c r="I56" s="41"/>
      <c r="J56" s="51" t="str">
        <f t="shared" si="0"/>
        <v/>
      </c>
      <c r="K56" s="47" t="str">
        <f t="shared" si="4"/>
        <v/>
      </c>
      <c r="L56" s="41"/>
      <c r="M56" s="41"/>
      <c r="N56" s="40" t="str">
        <f t="shared" si="1"/>
        <v/>
      </c>
      <c r="O56" s="37"/>
    </row>
    <row r="57" spans="1:15" x14ac:dyDescent="0.15">
      <c r="A57" s="3"/>
      <c r="B57" s="6"/>
      <c r="C57" s="3"/>
      <c r="D57" s="35"/>
      <c r="E57" s="35"/>
      <c r="F57" s="46" t="str">
        <f t="shared" si="2"/>
        <v/>
      </c>
      <c r="G57" s="50" t="str">
        <f t="shared" si="3"/>
        <v/>
      </c>
      <c r="H57" s="42"/>
      <c r="I57" s="41"/>
      <c r="J57" s="51" t="str">
        <f t="shared" si="0"/>
        <v/>
      </c>
      <c r="K57" s="47" t="str">
        <f t="shared" si="4"/>
        <v/>
      </c>
      <c r="L57" s="41"/>
      <c r="M57" s="41"/>
      <c r="N57" s="40" t="str">
        <f t="shared" si="1"/>
        <v/>
      </c>
      <c r="O57" s="37"/>
    </row>
    <row r="58" spans="1:15" x14ac:dyDescent="0.15">
      <c r="A58" s="3"/>
      <c r="B58" s="6"/>
      <c r="C58" s="3"/>
      <c r="D58" s="35"/>
      <c r="E58" s="35"/>
      <c r="F58" s="46" t="str">
        <f t="shared" si="2"/>
        <v/>
      </c>
      <c r="G58" s="50" t="str">
        <f t="shared" si="3"/>
        <v/>
      </c>
      <c r="H58" s="42"/>
      <c r="I58" s="41"/>
      <c r="J58" s="51" t="str">
        <f t="shared" si="0"/>
        <v/>
      </c>
      <c r="K58" s="47" t="str">
        <f t="shared" si="4"/>
        <v/>
      </c>
      <c r="L58" s="41"/>
      <c r="M58" s="41"/>
      <c r="N58" s="40" t="str">
        <f t="shared" si="1"/>
        <v/>
      </c>
      <c r="O58" s="37"/>
    </row>
    <row r="59" spans="1:15" x14ac:dyDescent="0.15">
      <c r="A59" s="3"/>
      <c r="B59" s="6"/>
      <c r="C59" s="3"/>
      <c r="D59" s="35"/>
      <c r="E59" s="35"/>
      <c r="F59" s="46" t="str">
        <f t="shared" si="2"/>
        <v/>
      </c>
      <c r="G59" s="50" t="str">
        <f t="shared" si="3"/>
        <v/>
      </c>
      <c r="H59" s="42"/>
      <c r="I59" s="41"/>
      <c r="J59" s="51" t="str">
        <f t="shared" si="0"/>
        <v/>
      </c>
      <c r="K59" s="47" t="str">
        <f t="shared" si="4"/>
        <v/>
      </c>
      <c r="L59" s="41"/>
      <c r="M59" s="41"/>
      <c r="N59" s="40" t="str">
        <f t="shared" si="1"/>
        <v/>
      </c>
      <c r="O59" s="37"/>
    </row>
    <row r="60" spans="1:15" x14ac:dyDescent="0.15">
      <c r="A60" s="3"/>
      <c r="B60" s="6"/>
      <c r="C60" s="3"/>
      <c r="D60" s="35"/>
      <c r="E60" s="35"/>
      <c r="F60" s="46" t="str">
        <f t="shared" si="2"/>
        <v/>
      </c>
      <c r="G60" s="50" t="str">
        <f t="shared" si="3"/>
        <v/>
      </c>
      <c r="H60" s="42"/>
      <c r="I60" s="41"/>
      <c r="J60" s="51" t="str">
        <f t="shared" si="0"/>
        <v/>
      </c>
      <c r="K60" s="47" t="str">
        <f t="shared" si="4"/>
        <v/>
      </c>
      <c r="L60" s="41"/>
      <c r="M60" s="41"/>
      <c r="N60" s="40" t="str">
        <f t="shared" si="1"/>
        <v/>
      </c>
      <c r="O60" s="37"/>
    </row>
    <row r="61" spans="1:15" x14ac:dyDescent="0.15">
      <c r="A61" s="3"/>
      <c r="B61" s="6"/>
      <c r="C61" s="3"/>
      <c r="D61" s="35"/>
      <c r="E61" s="35"/>
      <c r="F61" s="46" t="str">
        <f t="shared" si="2"/>
        <v/>
      </c>
      <c r="G61" s="50" t="str">
        <f t="shared" si="3"/>
        <v/>
      </c>
      <c r="H61" s="42"/>
      <c r="I61" s="41"/>
      <c r="J61" s="51" t="str">
        <f t="shared" si="0"/>
        <v/>
      </c>
      <c r="K61" s="47" t="str">
        <f t="shared" si="4"/>
        <v/>
      </c>
      <c r="L61" s="41"/>
      <c r="M61" s="41"/>
      <c r="N61" s="40" t="str">
        <f t="shared" si="1"/>
        <v/>
      </c>
      <c r="O61" s="37"/>
    </row>
    <row r="62" spans="1:15" x14ac:dyDescent="0.15">
      <c r="A62" s="3"/>
      <c r="B62" s="6"/>
      <c r="C62" s="3"/>
      <c r="D62" s="35"/>
      <c r="E62" s="35"/>
      <c r="F62" s="46" t="str">
        <f t="shared" si="2"/>
        <v/>
      </c>
      <c r="G62" s="50" t="str">
        <f t="shared" si="3"/>
        <v/>
      </c>
      <c r="H62" s="42"/>
      <c r="I62" s="41"/>
      <c r="J62" s="51" t="str">
        <f t="shared" si="0"/>
        <v/>
      </c>
      <c r="K62" s="47" t="str">
        <f t="shared" si="4"/>
        <v/>
      </c>
      <c r="L62" s="41"/>
      <c r="M62" s="41"/>
      <c r="N62" s="40" t="str">
        <f t="shared" si="1"/>
        <v/>
      </c>
      <c r="O62" s="37"/>
    </row>
    <row r="63" spans="1:15" x14ac:dyDescent="0.15">
      <c r="A63" s="3"/>
      <c r="B63" s="6"/>
      <c r="C63" s="3"/>
      <c r="D63" s="35"/>
      <c r="E63" s="35"/>
      <c r="F63" s="46" t="str">
        <f t="shared" si="2"/>
        <v/>
      </c>
      <c r="G63" s="50" t="str">
        <f t="shared" si="3"/>
        <v/>
      </c>
      <c r="H63" s="42"/>
      <c r="I63" s="41"/>
      <c r="J63" s="51" t="str">
        <f t="shared" si="0"/>
        <v/>
      </c>
      <c r="K63" s="47" t="str">
        <f t="shared" si="4"/>
        <v/>
      </c>
      <c r="L63" s="41"/>
      <c r="M63" s="41"/>
      <c r="N63" s="40" t="str">
        <f t="shared" si="1"/>
        <v/>
      </c>
      <c r="O63" s="37"/>
    </row>
    <row r="64" spans="1:15" x14ac:dyDescent="0.15">
      <c r="A64" s="3"/>
      <c r="B64" s="6"/>
      <c r="C64" s="3"/>
      <c r="D64" s="35"/>
      <c r="E64" s="35"/>
      <c r="F64" s="46" t="str">
        <f t="shared" si="2"/>
        <v/>
      </c>
      <c r="G64" s="50" t="str">
        <f t="shared" si="3"/>
        <v/>
      </c>
      <c r="H64" s="42"/>
      <c r="I64" s="41"/>
      <c r="J64" s="51" t="str">
        <f t="shared" si="0"/>
        <v/>
      </c>
      <c r="K64" s="47" t="str">
        <f t="shared" si="4"/>
        <v/>
      </c>
      <c r="L64" s="41"/>
      <c r="M64" s="41"/>
      <c r="N64" s="40" t="str">
        <f t="shared" si="1"/>
        <v/>
      </c>
      <c r="O64" s="37"/>
    </row>
    <row r="65" spans="1:15" x14ac:dyDescent="0.15">
      <c r="A65" s="3"/>
      <c r="B65" s="6"/>
      <c r="C65" s="3"/>
      <c r="D65" s="35"/>
      <c r="E65" s="35"/>
      <c r="F65" s="46" t="str">
        <f t="shared" si="2"/>
        <v/>
      </c>
      <c r="G65" s="50" t="str">
        <f t="shared" si="3"/>
        <v/>
      </c>
      <c r="H65" s="42"/>
      <c r="I65" s="41"/>
      <c r="J65" s="51" t="str">
        <f t="shared" si="0"/>
        <v/>
      </c>
      <c r="K65" s="47" t="str">
        <f t="shared" si="4"/>
        <v/>
      </c>
      <c r="L65" s="41"/>
      <c r="M65" s="41"/>
      <c r="N65" s="40" t="str">
        <f t="shared" si="1"/>
        <v/>
      </c>
      <c r="O65" s="37"/>
    </row>
    <row r="66" spans="1:15" x14ac:dyDescent="0.15">
      <c r="A66" s="3"/>
      <c r="B66" s="6"/>
      <c r="C66" s="3"/>
      <c r="D66" s="35"/>
      <c r="E66" s="35"/>
      <c r="F66" s="46" t="str">
        <f t="shared" si="2"/>
        <v/>
      </c>
      <c r="G66" s="50" t="str">
        <f t="shared" si="3"/>
        <v/>
      </c>
      <c r="H66" s="42"/>
      <c r="I66" s="41"/>
      <c r="J66" s="51" t="str">
        <f t="shared" si="0"/>
        <v/>
      </c>
      <c r="K66" s="47" t="str">
        <f t="shared" si="4"/>
        <v/>
      </c>
      <c r="L66" s="41"/>
      <c r="M66" s="41"/>
      <c r="N66" s="40" t="str">
        <f t="shared" si="1"/>
        <v/>
      </c>
      <c r="O66" s="37"/>
    </row>
    <row r="67" spans="1:15" x14ac:dyDescent="0.15">
      <c r="A67" s="3"/>
      <c r="B67" s="6"/>
      <c r="C67" s="3"/>
      <c r="D67" s="35"/>
      <c r="E67" s="35"/>
      <c r="F67" s="46" t="str">
        <f t="shared" si="2"/>
        <v/>
      </c>
      <c r="G67" s="50" t="str">
        <f t="shared" si="3"/>
        <v/>
      </c>
      <c r="H67" s="42"/>
      <c r="I67" s="41"/>
      <c r="J67" s="51" t="str">
        <f t="shared" si="0"/>
        <v/>
      </c>
      <c r="K67" s="47" t="str">
        <f t="shared" si="4"/>
        <v/>
      </c>
      <c r="L67" s="41"/>
      <c r="M67" s="41"/>
      <c r="N67" s="40" t="str">
        <f t="shared" si="1"/>
        <v/>
      </c>
      <c r="O67" s="37"/>
    </row>
    <row r="68" spans="1:15" x14ac:dyDescent="0.15">
      <c r="A68" s="3"/>
      <c r="B68" s="6"/>
      <c r="C68" s="3"/>
      <c r="D68" s="35"/>
      <c r="E68" s="35"/>
      <c r="F68" s="46" t="str">
        <f t="shared" si="2"/>
        <v/>
      </c>
      <c r="G68" s="50" t="str">
        <f t="shared" si="3"/>
        <v/>
      </c>
      <c r="H68" s="42"/>
      <c r="I68" s="41"/>
      <c r="J68" s="51" t="str">
        <f t="shared" si="0"/>
        <v/>
      </c>
      <c r="K68" s="47" t="str">
        <f t="shared" si="4"/>
        <v/>
      </c>
      <c r="L68" s="41"/>
      <c r="M68" s="41"/>
      <c r="N68" s="40" t="str">
        <f t="shared" si="1"/>
        <v/>
      </c>
      <c r="O68" s="37"/>
    </row>
    <row r="69" spans="1:15" x14ac:dyDescent="0.15">
      <c r="A69" s="3"/>
      <c r="B69" s="6"/>
      <c r="C69" s="3"/>
      <c r="D69" s="35"/>
      <c r="E69" s="35"/>
      <c r="F69" s="46" t="str">
        <f t="shared" si="2"/>
        <v/>
      </c>
      <c r="G69" s="50" t="str">
        <f t="shared" si="3"/>
        <v/>
      </c>
      <c r="H69" s="42"/>
      <c r="I69" s="41"/>
      <c r="J69" s="51" t="str">
        <f t="shared" ref="J69:J132" si="5">IF(I69="","",I69/H69)</f>
        <v/>
      </c>
      <c r="K69" s="47" t="str">
        <f t="shared" si="4"/>
        <v/>
      </c>
      <c r="L69" s="41"/>
      <c r="M69" s="41"/>
      <c r="N69" s="40" t="str">
        <f t="shared" ref="N69:N132" si="6">IF(M69="","",M69/L69)</f>
        <v/>
      </c>
      <c r="O69" s="37"/>
    </row>
    <row r="70" spans="1:15" x14ac:dyDescent="0.15">
      <c r="A70" s="3"/>
      <c r="B70" s="6"/>
      <c r="C70" s="3"/>
      <c r="D70" s="35"/>
      <c r="E70" s="35"/>
      <c r="F70" s="46" t="str">
        <f t="shared" ref="F70:F133" si="7">IF(E70="","",E70/D70)</f>
        <v/>
      </c>
      <c r="G70" s="50" t="str">
        <f t="shared" ref="G70:G133" si="8">IF(E70="","",E70-I70)</f>
        <v/>
      </c>
      <c r="H70" s="42"/>
      <c r="I70" s="41"/>
      <c r="J70" s="51" t="str">
        <f t="shared" si="5"/>
        <v/>
      </c>
      <c r="K70" s="47" t="str">
        <f t="shared" ref="K70:K133" si="9">IF(E70="","",E70-M70)</f>
        <v/>
      </c>
      <c r="L70" s="41"/>
      <c r="M70" s="41"/>
      <c r="N70" s="40" t="str">
        <f t="shared" si="6"/>
        <v/>
      </c>
      <c r="O70" s="37"/>
    </row>
    <row r="71" spans="1:15" x14ac:dyDescent="0.15">
      <c r="A71" s="3"/>
      <c r="B71" s="6"/>
      <c r="C71" s="3"/>
      <c r="D71" s="35"/>
      <c r="E71" s="35"/>
      <c r="F71" s="46" t="str">
        <f t="shared" si="7"/>
        <v/>
      </c>
      <c r="G71" s="50" t="str">
        <f t="shared" si="8"/>
        <v/>
      </c>
      <c r="H71" s="42"/>
      <c r="I71" s="41"/>
      <c r="J71" s="51" t="str">
        <f t="shared" si="5"/>
        <v/>
      </c>
      <c r="K71" s="47" t="str">
        <f t="shared" si="9"/>
        <v/>
      </c>
      <c r="L71" s="41"/>
      <c r="M71" s="41"/>
      <c r="N71" s="40" t="str">
        <f t="shared" si="6"/>
        <v/>
      </c>
      <c r="O71" s="37"/>
    </row>
    <row r="72" spans="1:15" x14ac:dyDescent="0.15">
      <c r="A72" s="3"/>
      <c r="B72" s="6"/>
      <c r="C72" s="3"/>
      <c r="D72" s="35"/>
      <c r="E72" s="35"/>
      <c r="F72" s="46" t="str">
        <f t="shared" si="7"/>
        <v/>
      </c>
      <c r="G72" s="50" t="str">
        <f t="shared" si="8"/>
        <v/>
      </c>
      <c r="H72" s="42"/>
      <c r="I72" s="41"/>
      <c r="J72" s="51" t="str">
        <f t="shared" si="5"/>
        <v/>
      </c>
      <c r="K72" s="47" t="str">
        <f t="shared" si="9"/>
        <v/>
      </c>
      <c r="L72" s="41"/>
      <c r="M72" s="41"/>
      <c r="N72" s="40" t="str">
        <f t="shared" si="6"/>
        <v/>
      </c>
      <c r="O72" s="37"/>
    </row>
    <row r="73" spans="1:15" x14ac:dyDescent="0.15">
      <c r="A73" s="3"/>
      <c r="B73" s="6"/>
      <c r="C73" s="3"/>
      <c r="D73" s="35"/>
      <c r="E73" s="35"/>
      <c r="F73" s="46" t="str">
        <f t="shared" si="7"/>
        <v/>
      </c>
      <c r="G73" s="50" t="str">
        <f t="shared" si="8"/>
        <v/>
      </c>
      <c r="H73" s="42"/>
      <c r="I73" s="41"/>
      <c r="J73" s="51" t="str">
        <f t="shared" si="5"/>
        <v/>
      </c>
      <c r="K73" s="47" t="str">
        <f t="shared" si="9"/>
        <v/>
      </c>
      <c r="L73" s="41"/>
      <c r="M73" s="41"/>
      <c r="N73" s="40" t="str">
        <f t="shared" si="6"/>
        <v/>
      </c>
      <c r="O73" s="37"/>
    </row>
    <row r="74" spans="1:15" x14ac:dyDescent="0.15">
      <c r="A74" s="3"/>
      <c r="B74" s="6"/>
      <c r="C74" s="3"/>
      <c r="D74" s="35"/>
      <c r="E74" s="35"/>
      <c r="F74" s="46" t="str">
        <f t="shared" si="7"/>
        <v/>
      </c>
      <c r="G74" s="50" t="str">
        <f t="shared" si="8"/>
        <v/>
      </c>
      <c r="H74" s="42"/>
      <c r="I74" s="41"/>
      <c r="J74" s="51" t="str">
        <f t="shared" si="5"/>
        <v/>
      </c>
      <c r="K74" s="47" t="str">
        <f t="shared" si="9"/>
        <v/>
      </c>
      <c r="L74" s="41"/>
      <c r="M74" s="41"/>
      <c r="N74" s="40" t="str">
        <f t="shared" si="6"/>
        <v/>
      </c>
      <c r="O74" s="37"/>
    </row>
    <row r="75" spans="1:15" x14ac:dyDescent="0.15">
      <c r="A75" s="3"/>
      <c r="B75" s="6"/>
      <c r="C75" s="3"/>
      <c r="D75" s="35"/>
      <c r="E75" s="35"/>
      <c r="F75" s="46" t="str">
        <f t="shared" si="7"/>
        <v/>
      </c>
      <c r="G75" s="50" t="str">
        <f t="shared" si="8"/>
        <v/>
      </c>
      <c r="H75" s="42"/>
      <c r="I75" s="41"/>
      <c r="J75" s="51" t="str">
        <f t="shared" si="5"/>
        <v/>
      </c>
      <c r="K75" s="47" t="str">
        <f t="shared" si="9"/>
        <v/>
      </c>
      <c r="L75" s="41"/>
      <c r="M75" s="41"/>
      <c r="N75" s="40" t="str">
        <f t="shared" si="6"/>
        <v/>
      </c>
      <c r="O75" s="37"/>
    </row>
    <row r="76" spans="1:15" x14ac:dyDescent="0.15">
      <c r="A76" s="3"/>
      <c r="B76" s="6"/>
      <c r="C76" s="3"/>
      <c r="D76" s="35"/>
      <c r="E76" s="35"/>
      <c r="F76" s="46" t="str">
        <f t="shared" si="7"/>
        <v/>
      </c>
      <c r="G76" s="50" t="str">
        <f t="shared" si="8"/>
        <v/>
      </c>
      <c r="H76" s="42"/>
      <c r="I76" s="41"/>
      <c r="J76" s="51" t="str">
        <f t="shared" si="5"/>
        <v/>
      </c>
      <c r="K76" s="47" t="str">
        <f t="shared" si="9"/>
        <v/>
      </c>
      <c r="L76" s="41"/>
      <c r="M76" s="41"/>
      <c r="N76" s="40" t="str">
        <f t="shared" si="6"/>
        <v/>
      </c>
      <c r="O76" s="37"/>
    </row>
    <row r="77" spans="1:15" x14ac:dyDescent="0.15">
      <c r="A77" s="3"/>
      <c r="B77" s="6"/>
      <c r="C77" s="3"/>
      <c r="D77" s="35"/>
      <c r="E77" s="35"/>
      <c r="F77" s="46" t="str">
        <f t="shared" si="7"/>
        <v/>
      </c>
      <c r="G77" s="50" t="str">
        <f t="shared" si="8"/>
        <v/>
      </c>
      <c r="H77" s="42"/>
      <c r="I77" s="41"/>
      <c r="J77" s="51" t="str">
        <f t="shared" si="5"/>
        <v/>
      </c>
      <c r="K77" s="47" t="str">
        <f t="shared" si="9"/>
        <v/>
      </c>
      <c r="L77" s="41"/>
      <c r="M77" s="41"/>
      <c r="N77" s="40" t="str">
        <f t="shared" si="6"/>
        <v/>
      </c>
      <c r="O77" s="37"/>
    </row>
    <row r="78" spans="1:15" x14ac:dyDescent="0.15">
      <c r="A78" s="3"/>
      <c r="B78" s="6"/>
      <c r="C78" s="3"/>
      <c r="D78" s="35"/>
      <c r="E78" s="35"/>
      <c r="F78" s="46" t="str">
        <f t="shared" si="7"/>
        <v/>
      </c>
      <c r="G78" s="50" t="str">
        <f t="shared" si="8"/>
        <v/>
      </c>
      <c r="H78" s="42"/>
      <c r="I78" s="41"/>
      <c r="J78" s="51" t="str">
        <f t="shared" si="5"/>
        <v/>
      </c>
      <c r="K78" s="47" t="str">
        <f t="shared" si="9"/>
        <v/>
      </c>
      <c r="L78" s="41"/>
      <c r="M78" s="41"/>
      <c r="N78" s="40" t="str">
        <f t="shared" si="6"/>
        <v/>
      </c>
      <c r="O78" s="37"/>
    </row>
    <row r="79" spans="1:15" x14ac:dyDescent="0.15">
      <c r="A79" s="3"/>
      <c r="B79" s="6"/>
      <c r="C79" s="3"/>
      <c r="D79" s="35"/>
      <c r="E79" s="35"/>
      <c r="F79" s="46" t="str">
        <f t="shared" si="7"/>
        <v/>
      </c>
      <c r="G79" s="50" t="str">
        <f t="shared" si="8"/>
        <v/>
      </c>
      <c r="H79" s="42"/>
      <c r="I79" s="41"/>
      <c r="J79" s="51" t="str">
        <f t="shared" si="5"/>
        <v/>
      </c>
      <c r="K79" s="47" t="str">
        <f t="shared" si="9"/>
        <v/>
      </c>
      <c r="L79" s="41"/>
      <c r="M79" s="41"/>
      <c r="N79" s="40" t="str">
        <f t="shared" si="6"/>
        <v/>
      </c>
      <c r="O79" s="37"/>
    </row>
    <row r="80" spans="1:15" x14ac:dyDescent="0.15">
      <c r="A80" s="3"/>
      <c r="B80" s="6"/>
      <c r="C80" s="3"/>
      <c r="D80" s="35"/>
      <c r="E80" s="35"/>
      <c r="F80" s="46" t="str">
        <f t="shared" si="7"/>
        <v/>
      </c>
      <c r="G80" s="50" t="str">
        <f t="shared" si="8"/>
        <v/>
      </c>
      <c r="H80" s="42"/>
      <c r="I80" s="41"/>
      <c r="J80" s="51" t="str">
        <f t="shared" si="5"/>
        <v/>
      </c>
      <c r="K80" s="47" t="str">
        <f t="shared" si="9"/>
        <v/>
      </c>
      <c r="L80" s="41"/>
      <c r="M80" s="41"/>
      <c r="N80" s="40" t="str">
        <f t="shared" si="6"/>
        <v/>
      </c>
      <c r="O80" s="37"/>
    </row>
    <row r="81" spans="1:15" x14ac:dyDescent="0.15">
      <c r="A81" s="3"/>
      <c r="B81" s="6"/>
      <c r="C81" s="3"/>
      <c r="D81" s="35"/>
      <c r="E81" s="35"/>
      <c r="F81" s="46" t="str">
        <f t="shared" si="7"/>
        <v/>
      </c>
      <c r="G81" s="50" t="str">
        <f t="shared" si="8"/>
        <v/>
      </c>
      <c r="H81" s="42"/>
      <c r="I81" s="41"/>
      <c r="J81" s="51" t="str">
        <f t="shared" si="5"/>
        <v/>
      </c>
      <c r="K81" s="47" t="str">
        <f t="shared" si="9"/>
        <v/>
      </c>
      <c r="L81" s="41"/>
      <c r="M81" s="41"/>
      <c r="N81" s="40" t="str">
        <f t="shared" si="6"/>
        <v/>
      </c>
      <c r="O81" s="37"/>
    </row>
    <row r="82" spans="1:15" x14ac:dyDescent="0.15">
      <c r="A82" s="3"/>
      <c r="B82" s="6"/>
      <c r="C82" s="3"/>
      <c r="D82" s="35"/>
      <c r="E82" s="35"/>
      <c r="F82" s="46" t="str">
        <f t="shared" si="7"/>
        <v/>
      </c>
      <c r="G82" s="50" t="str">
        <f t="shared" si="8"/>
        <v/>
      </c>
      <c r="H82" s="42"/>
      <c r="I82" s="41"/>
      <c r="J82" s="51" t="str">
        <f t="shared" si="5"/>
        <v/>
      </c>
      <c r="K82" s="47" t="str">
        <f t="shared" si="9"/>
        <v/>
      </c>
      <c r="L82" s="41"/>
      <c r="M82" s="41"/>
      <c r="N82" s="40" t="str">
        <f t="shared" si="6"/>
        <v/>
      </c>
      <c r="O82" s="37"/>
    </row>
    <row r="83" spans="1:15" x14ac:dyDescent="0.15">
      <c r="A83" s="3"/>
      <c r="B83" s="6"/>
      <c r="C83" s="3"/>
      <c r="D83" s="35"/>
      <c r="E83" s="35"/>
      <c r="F83" s="46" t="str">
        <f t="shared" si="7"/>
        <v/>
      </c>
      <c r="G83" s="50" t="str">
        <f t="shared" si="8"/>
        <v/>
      </c>
      <c r="H83" s="42"/>
      <c r="I83" s="41"/>
      <c r="J83" s="51" t="str">
        <f t="shared" si="5"/>
        <v/>
      </c>
      <c r="K83" s="47" t="str">
        <f t="shared" si="9"/>
        <v/>
      </c>
      <c r="L83" s="41"/>
      <c r="M83" s="41"/>
      <c r="N83" s="40" t="str">
        <f t="shared" si="6"/>
        <v/>
      </c>
      <c r="O83" s="37"/>
    </row>
    <row r="84" spans="1:15" x14ac:dyDescent="0.15">
      <c r="A84" s="3"/>
      <c r="B84" s="6"/>
      <c r="C84" s="3"/>
      <c r="D84" s="35"/>
      <c r="E84" s="35"/>
      <c r="F84" s="46" t="str">
        <f t="shared" si="7"/>
        <v/>
      </c>
      <c r="G84" s="50" t="str">
        <f t="shared" si="8"/>
        <v/>
      </c>
      <c r="H84" s="42"/>
      <c r="I84" s="41"/>
      <c r="J84" s="51" t="str">
        <f t="shared" si="5"/>
        <v/>
      </c>
      <c r="K84" s="47" t="str">
        <f t="shared" si="9"/>
        <v/>
      </c>
      <c r="L84" s="41"/>
      <c r="M84" s="41"/>
      <c r="N84" s="40" t="str">
        <f t="shared" si="6"/>
        <v/>
      </c>
      <c r="O84" s="37"/>
    </row>
    <row r="85" spans="1:15" x14ac:dyDescent="0.15">
      <c r="A85" s="3"/>
      <c r="B85" s="6"/>
      <c r="C85" s="3"/>
      <c r="D85" s="35"/>
      <c r="E85" s="35"/>
      <c r="F85" s="46" t="str">
        <f t="shared" si="7"/>
        <v/>
      </c>
      <c r="G85" s="50" t="str">
        <f t="shared" si="8"/>
        <v/>
      </c>
      <c r="H85" s="42"/>
      <c r="I85" s="41"/>
      <c r="J85" s="51" t="str">
        <f t="shared" si="5"/>
        <v/>
      </c>
      <c r="K85" s="47" t="str">
        <f t="shared" si="9"/>
        <v/>
      </c>
      <c r="L85" s="41"/>
      <c r="M85" s="41"/>
      <c r="N85" s="40" t="str">
        <f t="shared" si="6"/>
        <v/>
      </c>
      <c r="O85" s="37"/>
    </row>
    <row r="86" spans="1:15" x14ac:dyDescent="0.15">
      <c r="A86" s="3"/>
      <c r="B86" s="6"/>
      <c r="C86" s="3"/>
      <c r="D86" s="35"/>
      <c r="E86" s="35"/>
      <c r="F86" s="46" t="str">
        <f t="shared" si="7"/>
        <v/>
      </c>
      <c r="G86" s="50" t="str">
        <f t="shared" si="8"/>
        <v/>
      </c>
      <c r="H86" s="42"/>
      <c r="I86" s="41"/>
      <c r="J86" s="51" t="str">
        <f t="shared" si="5"/>
        <v/>
      </c>
      <c r="K86" s="47" t="str">
        <f t="shared" si="9"/>
        <v/>
      </c>
      <c r="L86" s="41"/>
      <c r="M86" s="41"/>
      <c r="N86" s="40" t="str">
        <f t="shared" si="6"/>
        <v/>
      </c>
      <c r="O86" s="37"/>
    </row>
    <row r="87" spans="1:15" x14ac:dyDescent="0.15">
      <c r="A87" s="3"/>
      <c r="B87" s="6"/>
      <c r="C87" s="3"/>
      <c r="D87" s="35"/>
      <c r="E87" s="35"/>
      <c r="F87" s="46" t="str">
        <f t="shared" si="7"/>
        <v/>
      </c>
      <c r="G87" s="50" t="str">
        <f t="shared" si="8"/>
        <v/>
      </c>
      <c r="H87" s="42"/>
      <c r="I87" s="41"/>
      <c r="J87" s="51" t="str">
        <f t="shared" si="5"/>
        <v/>
      </c>
      <c r="K87" s="47" t="str">
        <f t="shared" si="9"/>
        <v/>
      </c>
      <c r="L87" s="41"/>
      <c r="M87" s="41"/>
      <c r="N87" s="40" t="str">
        <f t="shared" si="6"/>
        <v/>
      </c>
      <c r="O87" s="37"/>
    </row>
    <row r="88" spans="1:15" x14ac:dyDescent="0.15">
      <c r="A88" s="3"/>
      <c r="B88" s="6"/>
      <c r="C88" s="3"/>
      <c r="D88" s="35"/>
      <c r="E88" s="35"/>
      <c r="F88" s="46" t="str">
        <f t="shared" si="7"/>
        <v/>
      </c>
      <c r="G88" s="50" t="str">
        <f t="shared" si="8"/>
        <v/>
      </c>
      <c r="H88" s="42"/>
      <c r="I88" s="41"/>
      <c r="J88" s="51" t="str">
        <f t="shared" si="5"/>
        <v/>
      </c>
      <c r="K88" s="47" t="str">
        <f t="shared" si="9"/>
        <v/>
      </c>
      <c r="L88" s="41"/>
      <c r="M88" s="41"/>
      <c r="N88" s="40" t="str">
        <f t="shared" si="6"/>
        <v/>
      </c>
      <c r="O88" s="37"/>
    </row>
    <row r="89" spans="1:15" x14ac:dyDescent="0.15">
      <c r="A89" s="3"/>
      <c r="B89" s="6"/>
      <c r="C89" s="3"/>
      <c r="D89" s="35"/>
      <c r="E89" s="35"/>
      <c r="F89" s="46" t="str">
        <f t="shared" si="7"/>
        <v/>
      </c>
      <c r="G89" s="50" t="str">
        <f t="shared" si="8"/>
        <v/>
      </c>
      <c r="H89" s="42"/>
      <c r="I89" s="41"/>
      <c r="J89" s="51" t="str">
        <f t="shared" si="5"/>
        <v/>
      </c>
      <c r="K89" s="47" t="str">
        <f t="shared" si="9"/>
        <v/>
      </c>
      <c r="L89" s="41"/>
      <c r="M89" s="41"/>
      <c r="N89" s="40" t="str">
        <f t="shared" si="6"/>
        <v/>
      </c>
      <c r="O89" s="37"/>
    </row>
    <row r="90" spans="1:15" x14ac:dyDescent="0.15">
      <c r="A90" s="3"/>
      <c r="B90" s="6"/>
      <c r="C90" s="3"/>
      <c r="D90" s="35"/>
      <c r="E90" s="35"/>
      <c r="F90" s="46" t="str">
        <f t="shared" si="7"/>
        <v/>
      </c>
      <c r="G90" s="50" t="str">
        <f t="shared" si="8"/>
        <v/>
      </c>
      <c r="H90" s="42"/>
      <c r="I90" s="41"/>
      <c r="J90" s="51" t="str">
        <f t="shared" si="5"/>
        <v/>
      </c>
      <c r="K90" s="47" t="str">
        <f t="shared" si="9"/>
        <v/>
      </c>
      <c r="L90" s="41"/>
      <c r="M90" s="41"/>
      <c r="N90" s="40" t="str">
        <f t="shared" si="6"/>
        <v/>
      </c>
      <c r="O90" s="37"/>
    </row>
    <row r="91" spans="1:15" x14ac:dyDescent="0.15">
      <c r="A91" s="3"/>
      <c r="B91" s="6"/>
      <c r="C91" s="3"/>
      <c r="D91" s="35"/>
      <c r="E91" s="35"/>
      <c r="F91" s="46" t="str">
        <f t="shared" si="7"/>
        <v/>
      </c>
      <c r="G91" s="50" t="str">
        <f t="shared" si="8"/>
        <v/>
      </c>
      <c r="H91" s="42"/>
      <c r="I91" s="41"/>
      <c r="J91" s="51" t="str">
        <f t="shared" si="5"/>
        <v/>
      </c>
      <c r="K91" s="47" t="str">
        <f t="shared" si="9"/>
        <v/>
      </c>
      <c r="L91" s="41"/>
      <c r="M91" s="41"/>
      <c r="N91" s="40" t="str">
        <f t="shared" si="6"/>
        <v/>
      </c>
      <c r="O91" s="37"/>
    </row>
    <row r="92" spans="1:15" x14ac:dyDescent="0.15">
      <c r="A92" s="3"/>
      <c r="B92" s="6"/>
      <c r="C92" s="3"/>
      <c r="D92" s="35"/>
      <c r="E92" s="35"/>
      <c r="F92" s="46" t="str">
        <f t="shared" si="7"/>
        <v/>
      </c>
      <c r="G92" s="50" t="str">
        <f t="shared" si="8"/>
        <v/>
      </c>
      <c r="H92" s="42"/>
      <c r="I92" s="41"/>
      <c r="J92" s="51" t="str">
        <f t="shared" si="5"/>
        <v/>
      </c>
      <c r="K92" s="47" t="str">
        <f t="shared" si="9"/>
        <v/>
      </c>
      <c r="L92" s="41"/>
      <c r="M92" s="41"/>
      <c r="N92" s="40" t="str">
        <f t="shared" si="6"/>
        <v/>
      </c>
      <c r="O92" s="37"/>
    </row>
    <row r="93" spans="1:15" x14ac:dyDescent="0.15">
      <c r="A93" s="3"/>
      <c r="B93" s="6"/>
      <c r="C93" s="3"/>
      <c r="D93" s="35"/>
      <c r="E93" s="35"/>
      <c r="F93" s="46" t="str">
        <f t="shared" si="7"/>
        <v/>
      </c>
      <c r="G93" s="50" t="str">
        <f t="shared" si="8"/>
        <v/>
      </c>
      <c r="H93" s="42"/>
      <c r="I93" s="41"/>
      <c r="J93" s="51" t="str">
        <f t="shared" si="5"/>
        <v/>
      </c>
      <c r="K93" s="47" t="str">
        <f t="shared" si="9"/>
        <v/>
      </c>
      <c r="L93" s="41"/>
      <c r="M93" s="41"/>
      <c r="N93" s="40" t="str">
        <f t="shared" si="6"/>
        <v/>
      </c>
      <c r="O93" s="37"/>
    </row>
    <row r="94" spans="1:15" x14ac:dyDescent="0.15">
      <c r="A94" s="3"/>
      <c r="B94" s="6"/>
      <c r="C94" s="3"/>
      <c r="D94" s="35"/>
      <c r="E94" s="35"/>
      <c r="F94" s="46" t="str">
        <f t="shared" si="7"/>
        <v/>
      </c>
      <c r="G94" s="50" t="str">
        <f t="shared" si="8"/>
        <v/>
      </c>
      <c r="H94" s="42"/>
      <c r="I94" s="41"/>
      <c r="J94" s="51" t="str">
        <f t="shared" si="5"/>
        <v/>
      </c>
      <c r="K94" s="47" t="str">
        <f t="shared" si="9"/>
        <v/>
      </c>
      <c r="L94" s="41"/>
      <c r="M94" s="41"/>
      <c r="N94" s="40" t="str">
        <f t="shared" si="6"/>
        <v/>
      </c>
      <c r="O94" s="37"/>
    </row>
    <row r="95" spans="1:15" x14ac:dyDescent="0.15">
      <c r="A95" s="3"/>
      <c r="B95" s="6"/>
      <c r="C95" s="3"/>
      <c r="D95" s="35"/>
      <c r="E95" s="35"/>
      <c r="F95" s="46" t="str">
        <f t="shared" si="7"/>
        <v/>
      </c>
      <c r="G95" s="50" t="str">
        <f t="shared" si="8"/>
        <v/>
      </c>
      <c r="H95" s="42"/>
      <c r="I95" s="41"/>
      <c r="J95" s="51" t="str">
        <f t="shared" si="5"/>
        <v/>
      </c>
      <c r="K95" s="47" t="str">
        <f t="shared" si="9"/>
        <v/>
      </c>
      <c r="L95" s="41"/>
      <c r="M95" s="41"/>
      <c r="N95" s="40" t="str">
        <f t="shared" si="6"/>
        <v/>
      </c>
      <c r="O95" s="37"/>
    </row>
    <row r="96" spans="1:15" x14ac:dyDescent="0.15">
      <c r="A96" s="3"/>
      <c r="B96" s="6"/>
      <c r="C96" s="3"/>
      <c r="D96" s="35"/>
      <c r="E96" s="35"/>
      <c r="F96" s="46" t="str">
        <f t="shared" si="7"/>
        <v/>
      </c>
      <c r="G96" s="50" t="str">
        <f t="shared" si="8"/>
        <v/>
      </c>
      <c r="H96" s="42"/>
      <c r="I96" s="41"/>
      <c r="J96" s="51" t="str">
        <f t="shared" si="5"/>
        <v/>
      </c>
      <c r="K96" s="47" t="str">
        <f t="shared" si="9"/>
        <v/>
      </c>
      <c r="L96" s="41"/>
      <c r="M96" s="41"/>
      <c r="N96" s="40" t="str">
        <f t="shared" si="6"/>
        <v/>
      </c>
      <c r="O96" s="37"/>
    </row>
    <row r="97" spans="1:15" x14ac:dyDescent="0.15">
      <c r="A97" s="3"/>
      <c r="B97" s="6"/>
      <c r="C97" s="3"/>
      <c r="D97" s="35"/>
      <c r="E97" s="35"/>
      <c r="F97" s="46" t="str">
        <f t="shared" si="7"/>
        <v/>
      </c>
      <c r="G97" s="50" t="str">
        <f t="shared" si="8"/>
        <v/>
      </c>
      <c r="H97" s="42"/>
      <c r="I97" s="41"/>
      <c r="J97" s="51" t="str">
        <f t="shared" si="5"/>
        <v/>
      </c>
      <c r="K97" s="47" t="str">
        <f t="shared" si="9"/>
        <v/>
      </c>
      <c r="L97" s="41"/>
      <c r="M97" s="41"/>
      <c r="N97" s="40" t="str">
        <f t="shared" si="6"/>
        <v/>
      </c>
      <c r="O97" s="37"/>
    </row>
    <row r="98" spans="1:15" x14ac:dyDescent="0.15">
      <c r="A98" s="3"/>
      <c r="B98" s="6"/>
      <c r="C98" s="3"/>
      <c r="D98" s="35"/>
      <c r="E98" s="35"/>
      <c r="F98" s="46" t="str">
        <f t="shared" si="7"/>
        <v/>
      </c>
      <c r="G98" s="50" t="str">
        <f t="shared" si="8"/>
        <v/>
      </c>
      <c r="H98" s="42"/>
      <c r="I98" s="41"/>
      <c r="J98" s="51" t="str">
        <f t="shared" si="5"/>
        <v/>
      </c>
      <c r="K98" s="47" t="str">
        <f t="shared" si="9"/>
        <v/>
      </c>
      <c r="L98" s="41"/>
      <c r="M98" s="41"/>
      <c r="N98" s="40" t="str">
        <f t="shared" si="6"/>
        <v/>
      </c>
      <c r="O98" s="37"/>
    </row>
    <row r="99" spans="1:15" x14ac:dyDescent="0.15">
      <c r="A99" s="3"/>
      <c r="B99" s="6"/>
      <c r="C99" s="3"/>
      <c r="D99" s="35"/>
      <c r="E99" s="35"/>
      <c r="F99" s="46" t="str">
        <f t="shared" si="7"/>
        <v/>
      </c>
      <c r="G99" s="50" t="str">
        <f t="shared" si="8"/>
        <v/>
      </c>
      <c r="H99" s="42"/>
      <c r="I99" s="41"/>
      <c r="J99" s="51" t="str">
        <f t="shared" si="5"/>
        <v/>
      </c>
      <c r="K99" s="47" t="str">
        <f t="shared" si="9"/>
        <v/>
      </c>
      <c r="L99" s="41"/>
      <c r="M99" s="41"/>
      <c r="N99" s="40" t="str">
        <f t="shared" si="6"/>
        <v/>
      </c>
      <c r="O99" s="37"/>
    </row>
    <row r="100" spans="1:15" x14ac:dyDescent="0.15">
      <c r="A100" s="3"/>
      <c r="B100" s="6"/>
      <c r="C100" s="3"/>
      <c r="D100" s="35"/>
      <c r="E100" s="35"/>
      <c r="F100" s="46" t="str">
        <f t="shared" si="7"/>
        <v/>
      </c>
      <c r="G100" s="50" t="str">
        <f t="shared" si="8"/>
        <v/>
      </c>
      <c r="H100" s="42"/>
      <c r="I100" s="41"/>
      <c r="J100" s="51" t="str">
        <f t="shared" si="5"/>
        <v/>
      </c>
      <c r="K100" s="47" t="str">
        <f t="shared" si="9"/>
        <v/>
      </c>
      <c r="L100" s="41"/>
      <c r="M100" s="41"/>
      <c r="N100" s="40" t="str">
        <f t="shared" si="6"/>
        <v/>
      </c>
      <c r="O100" s="37"/>
    </row>
    <row r="101" spans="1:15" x14ac:dyDescent="0.15">
      <c r="A101" s="3"/>
      <c r="B101" s="6"/>
      <c r="C101" s="3"/>
      <c r="D101" s="35"/>
      <c r="E101" s="35"/>
      <c r="F101" s="46" t="str">
        <f t="shared" si="7"/>
        <v/>
      </c>
      <c r="G101" s="50" t="str">
        <f t="shared" si="8"/>
        <v/>
      </c>
      <c r="H101" s="42"/>
      <c r="I101" s="41"/>
      <c r="J101" s="51" t="str">
        <f t="shared" si="5"/>
        <v/>
      </c>
      <c r="K101" s="47" t="str">
        <f t="shared" si="9"/>
        <v/>
      </c>
      <c r="L101" s="41"/>
      <c r="M101" s="41"/>
      <c r="N101" s="40" t="str">
        <f t="shared" si="6"/>
        <v/>
      </c>
      <c r="O101" s="37"/>
    </row>
    <row r="102" spans="1:15" x14ac:dyDescent="0.15">
      <c r="A102" s="3"/>
      <c r="B102" s="6"/>
      <c r="C102" s="3"/>
      <c r="D102" s="35"/>
      <c r="E102" s="35"/>
      <c r="F102" s="46" t="str">
        <f t="shared" si="7"/>
        <v/>
      </c>
      <c r="G102" s="50" t="str">
        <f t="shared" si="8"/>
        <v/>
      </c>
      <c r="H102" s="42"/>
      <c r="I102" s="41"/>
      <c r="J102" s="51" t="str">
        <f t="shared" si="5"/>
        <v/>
      </c>
      <c r="K102" s="47" t="str">
        <f t="shared" si="9"/>
        <v/>
      </c>
      <c r="L102" s="41"/>
      <c r="M102" s="41"/>
      <c r="N102" s="40" t="str">
        <f t="shared" si="6"/>
        <v/>
      </c>
      <c r="O102" s="37"/>
    </row>
    <row r="103" spans="1:15" x14ac:dyDescent="0.15">
      <c r="A103" s="3"/>
      <c r="B103" s="6"/>
      <c r="C103" s="3"/>
      <c r="D103" s="35"/>
      <c r="E103" s="35"/>
      <c r="F103" s="46" t="str">
        <f t="shared" si="7"/>
        <v/>
      </c>
      <c r="G103" s="50" t="str">
        <f t="shared" si="8"/>
        <v/>
      </c>
      <c r="H103" s="42"/>
      <c r="I103" s="41"/>
      <c r="J103" s="51" t="str">
        <f t="shared" si="5"/>
        <v/>
      </c>
      <c r="K103" s="47" t="str">
        <f t="shared" si="9"/>
        <v/>
      </c>
      <c r="L103" s="41"/>
      <c r="M103" s="41"/>
      <c r="N103" s="40" t="str">
        <f t="shared" si="6"/>
        <v/>
      </c>
      <c r="O103" s="37"/>
    </row>
    <row r="104" spans="1:15" x14ac:dyDescent="0.15">
      <c r="A104" s="3"/>
      <c r="B104" s="6"/>
      <c r="C104" s="3"/>
      <c r="D104" s="35"/>
      <c r="E104" s="35"/>
      <c r="F104" s="46" t="str">
        <f t="shared" si="7"/>
        <v/>
      </c>
      <c r="G104" s="50" t="str">
        <f t="shared" si="8"/>
        <v/>
      </c>
      <c r="H104" s="42"/>
      <c r="I104" s="41"/>
      <c r="J104" s="51" t="str">
        <f t="shared" si="5"/>
        <v/>
      </c>
      <c r="K104" s="47" t="str">
        <f t="shared" si="9"/>
        <v/>
      </c>
      <c r="L104" s="41"/>
      <c r="M104" s="41"/>
      <c r="N104" s="40" t="str">
        <f t="shared" si="6"/>
        <v/>
      </c>
      <c r="O104" s="37"/>
    </row>
    <row r="105" spans="1:15" x14ac:dyDescent="0.15">
      <c r="A105" s="3"/>
      <c r="B105" s="6"/>
      <c r="C105" s="3"/>
      <c r="D105" s="35"/>
      <c r="E105" s="35"/>
      <c r="F105" s="46" t="str">
        <f t="shared" si="7"/>
        <v/>
      </c>
      <c r="G105" s="50" t="str">
        <f t="shared" si="8"/>
        <v/>
      </c>
      <c r="H105" s="42"/>
      <c r="I105" s="41"/>
      <c r="J105" s="51" t="str">
        <f t="shared" si="5"/>
        <v/>
      </c>
      <c r="K105" s="47" t="str">
        <f t="shared" si="9"/>
        <v/>
      </c>
      <c r="L105" s="41"/>
      <c r="M105" s="41"/>
      <c r="N105" s="40" t="str">
        <f t="shared" si="6"/>
        <v/>
      </c>
      <c r="O105" s="37"/>
    </row>
    <row r="106" spans="1:15" x14ac:dyDescent="0.15">
      <c r="A106" s="3"/>
      <c r="B106" s="6"/>
      <c r="C106" s="3"/>
      <c r="D106" s="35"/>
      <c r="E106" s="35"/>
      <c r="F106" s="46" t="str">
        <f t="shared" si="7"/>
        <v/>
      </c>
      <c r="G106" s="50" t="str">
        <f t="shared" si="8"/>
        <v/>
      </c>
      <c r="H106" s="42"/>
      <c r="I106" s="41"/>
      <c r="J106" s="51" t="str">
        <f t="shared" si="5"/>
        <v/>
      </c>
      <c r="K106" s="47" t="str">
        <f t="shared" si="9"/>
        <v/>
      </c>
      <c r="L106" s="41"/>
      <c r="M106" s="41"/>
      <c r="N106" s="40" t="str">
        <f t="shared" si="6"/>
        <v/>
      </c>
      <c r="O106" s="37"/>
    </row>
    <row r="107" spans="1:15" x14ac:dyDescent="0.15">
      <c r="A107" s="3"/>
      <c r="B107" s="6"/>
      <c r="C107" s="3"/>
      <c r="D107" s="35"/>
      <c r="E107" s="35"/>
      <c r="F107" s="46" t="str">
        <f t="shared" si="7"/>
        <v/>
      </c>
      <c r="G107" s="50" t="str">
        <f t="shared" si="8"/>
        <v/>
      </c>
      <c r="H107" s="42"/>
      <c r="I107" s="41"/>
      <c r="J107" s="51" t="str">
        <f t="shared" si="5"/>
        <v/>
      </c>
      <c r="K107" s="47" t="str">
        <f t="shared" si="9"/>
        <v/>
      </c>
      <c r="L107" s="41"/>
      <c r="M107" s="41"/>
      <c r="N107" s="40" t="str">
        <f t="shared" si="6"/>
        <v/>
      </c>
      <c r="O107" s="37"/>
    </row>
    <row r="108" spans="1:15" x14ac:dyDescent="0.15">
      <c r="A108" s="3"/>
      <c r="B108" s="6"/>
      <c r="C108" s="3"/>
      <c r="D108" s="35"/>
      <c r="E108" s="35"/>
      <c r="F108" s="46" t="str">
        <f t="shared" si="7"/>
        <v/>
      </c>
      <c r="G108" s="50" t="str">
        <f t="shared" si="8"/>
        <v/>
      </c>
      <c r="H108" s="42"/>
      <c r="I108" s="41"/>
      <c r="J108" s="51" t="str">
        <f t="shared" si="5"/>
        <v/>
      </c>
      <c r="K108" s="47" t="str">
        <f t="shared" si="9"/>
        <v/>
      </c>
      <c r="L108" s="41"/>
      <c r="M108" s="41"/>
      <c r="N108" s="40" t="str">
        <f t="shared" si="6"/>
        <v/>
      </c>
      <c r="O108" s="37"/>
    </row>
    <row r="109" spans="1:15" x14ac:dyDescent="0.15">
      <c r="A109" s="3"/>
      <c r="B109" s="6"/>
      <c r="C109" s="3"/>
      <c r="D109" s="35"/>
      <c r="E109" s="35"/>
      <c r="F109" s="46" t="str">
        <f t="shared" si="7"/>
        <v/>
      </c>
      <c r="G109" s="50" t="str">
        <f t="shared" si="8"/>
        <v/>
      </c>
      <c r="H109" s="42"/>
      <c r="I109" s="41"/>
      <c r="J109" s="51" t="str">
        <f t="shared" si="5"/>
        <v/>
      </c>
      <c r="K109" s="47" t="str">
        <f t="shared" si="9"/>
        <v/>
      </c>
      <c r="L109" s="41"/>
      <c r="M109" s="41"/>
      <c r="N109" s="40" t="str">
        <f t="shared" si="6"/>
        <v/>
      </c>
      <c r="O109" s="37"/>
    </row>
    <row r="110" spans="1:15" x14ac:dyDescent="0.15">
      <c r="A110" s="3"/>
      <c r="B110" s="6"/>
      <c r="C110" s="3"/>
      <c r="D110" s="35"/>
      <c r="E110" s="35"/>
      <c r="F110" s="46" t="str">
        <f t="shared" si="7"/>
        <v/>
      </c>
      <c r="G110" s="50" t="str">
        <f t="shared" si="8"/>
        <v/>
      </c>
      <c r="H110" s="42"/>
      <c r="I110" s="41"/>
      <c r="J110" s="51" t="str">
        <f t="shared" si="5"/>
        <v/>
      </c>
      <c r="K110" s="47" t="str">
        <f t="shared" si="9"/>
        <v/>
      </c>
      <c r="L110" s="41"/>
      <c r="M110" s="41"/>
      <c r="N110" s="40" t="str">
        <f t="shared" si="6"/>
        <v/>
      </c>
      <c r="O110" s="37"/>
    </row>
    <row r="111" spans="1:15" x14ac:dyDescent="0.15">
      <c r="A111" s="3"/>
      <c r="B111" s="6"/>
      <c r="C111" s="3"/>
      <c r="D111" s="35"/>
      <c r="E111" s="35"/>
      <c r="F111" s="46" t="str">
        <f t="shared" si="7"/>
        <v/>
      </c>
      <c r="G111" s="50" t="str">
        <f t="shared" si="8"/>
        <v/>
      </c>
      <c r="H111" s="42"/>
      <c r="I111" s="41"/>
      <c r="J111" s="51" t="str">
        <f t="shared" si="5"/>
        <v/>
      </c>
      <c r="K111" s="47" t="str">
        <f t="shared" si="9"/>
        <v/>
      </c>
      <c r="L111" s="41"/>
      <c r="M111" s="41"/>
      <c r="N111" s="40" t="str">
        <f t="shared" si="6"/>
        <v/>
      </c>
      <c r="O111" s="37"/>
    </row>
    <row r="112" spans="1:15" x14ac:dyDescent="0.15">
      <c r="A112" s="3"/>
      <c r="B112" s="6"/>
      <c r="C112" s="3"/>
      <c r="D112" s="35"/>
      <c r="E112" s="35"/>
      <c r="F112" s="46" t="str">
        <f t="shared" si="7"/>
        <v/>
      </c>
      <c r="G112" s="50" t="str">
        <f t="shared" si="8"/>
        <v/>
      </c>
      <c r="H112" s="42"/>
      <c r="I112" s="41"/>
      <c r="J112" s="51" t="str">
        <f t="shared" si="5"/>
        <v/>
      </c>
      <c r="K112" s="47" t="str">
        <f t="shared" si="9"/>
        <v/>
      </c>
      <c r="L112" s="41"/>
      <c r="M112" s="41"/>
      <c r="N112" s="40" t="str">
        <f t="shared" si="6"/>
        <v/>
      </c>
      <c r="O112" s="37"/>
    </row>
    <row r="113" spans="1:15" x14ac:dyDescent="0.15">
      <c r="A113" s="3"/>
      <c r="B113" s="6"/>
      <c r="C113" s="3"/>
      <c r="D113" s="35"/>
      <c r="E113" s="35"/>
      <c r="F113" s="46" t="str">
        <f t="shared" si="7"/>
        <v/>
      </c>
      <c r="G113" s="50" t="str">
        <f t="shared" si="8"/>
        <v/>
      </c>
      <c r="H113" s="42"/>
      <c r="I113" s="41"/>
      <c r="J113" s="51" t="str">
        <f t="shared" si="5"/>
        <v/>
      </c>
      <c r="K113" s="47" t="str">
        <f t="shared" si="9"/>
        <v/>
      </c>
      <c r="L113" s="41"/>
      <c r="M113" s="41"/>
      <c r="N113" s="40" t="str">
        <f t="shared" si="6"/>
        <v/>
      </c>
      <c r="O113" s="37"/>
    </row>
    <row r="114" spans="1:15" x14ac:dyDescent="0.15">
      <c r="A114" s="3"/>
      <c r="B114" s="6"/>
      <c r="C114" s="3"/>
      <c r="D114" s="35"/>
      <c r="E114" s="35"/>
      <c r="F114" s="46" t="str">
        <f t="shared" si="7"/>
        <v/>
      </c>
      <c r="G114" s="50" t="str">
        <f t="shared" si="8"/>
        <v/>
      </c>
      <c r="H114" s="42"/>
      <c r="I114" s="41"/>
      <c r="J114" s="51" t="str">
        <f t="shared" si="5"/>
        <v/>
      </c>
      <c r="K114" s="47" t="str">
        <f t="shared" si="9"/>
        <v/>
      </c>
      <c r="L114" s="41"/>
      <c r="M114" s="41"/>
      <c r="N114" s="40" t="str">
        <f t="shared" si="6"/>
        <v/>
      </c>
      <c r="O114" s="37"/>
    </row>
    <row r="115" spans="1:15" x14ac:dyDescent="0.15">
      <c r="A115" s="3"/>
      <c r="B115" s="6"/>
      <c r="C115" s="3"/>
      <c r="D115" s="35"/>
      <c r="E115" s="35"/>
      <c r="F115" s="46" t="str">
        <f t="shared" si="7"/>
        <v/>
      </c>
      <c r="G115" s="50" t="str">
        <f t="shared" si="8"/>
        <v/>
      </c>
      <c r="H115" s="42"/>
      <c r="I115" s="41"/>
      <c r="J115" s="51" t="str">
        <f t="shared" si="5"/>
        <v/>
      </c>
      <c r="K115" s="47" t="str">
        <f t="shared" si="9"/>
        <v/>
      </c>
      <c r="L115" s="41"/>
      <c r="M115" s="41"/>
      <c r="N115" s="40" t="str">
        <f t="shared" si="6"/>
        <v/>
      </c>
      <c r="O115" s="37"/>
    </row>
    <row r="116" spans="1:15" x14ac:dyDescent="0.15">
      <c r="A116" s="3"/>
      <c r="B116" s="6"/>
      <c r="C116" s="3"/>
      <c r="D116" s="35"/>
      <c r="E116" s="35"/>
      <c r="F116" s="46" t="str">
        <f t="shared" si="7"/>
        <v/>
      </c>
      <c r="G116" s="50" t="str">
        <f t="shared" si="8"/>
        <v/>
      </c>
      <c r="H116" s="42"/>
      <c r="I116" s="41"/>
      <c r="J116" s="51" t="str">
        <f t="shared" si="5"/>
        <v/>
      </c>
      <c r="K116" s="47" t="str">
        <f t="shared" si="9"/>
        <v/>
      </c>
      <c r="L116" s="41"/>
      <c r="M116" s="41"/>
      <c r="N116" s="40" t="str">
        <f t="shared" si="6"/>
        <v/>
      </c>
      <c r="O116" s="37"/>
    </row>
    <row r="117" spans="1:15" x14ac:dyDescent="0.15">
      <c r="A117" s="3"/>
      <c r="B117" s="6"/>
      <c r="C117" s="3"/>
      <c r="D117" s="35"/>
      <c r="E117" s="35"/>
      <c r="F117" s="46" t="str">
        <f t="shared" si="7"/>
        <v/>
      </c>
      <c r="G117" s="50" t="str">
        <f t="shared" si="8"/>
        <v/>
      </c>
      <c r="H117" s="42"/>
      <c r="I117" s="41"/>
      <c r="J117" s="51" t="str">
        <f t="shared" si="5"/>
        <v/>
      </c>
      <c r="K117" s="47" t="str">
        <f t="shared" si="9"/>
        <v/>
      </c>
      <c r="L117" s="41"/>
      <c r="M117" s="41"/>
      <c r="N117" s="40" t="str">
        <f t="shared" si="6"/>
        <v/>
      </c>
      <c r="O117" s="37"/>
    </row>
    <row r="118" spans="1:15" x14ac:dyDescent="0.15">
      <c r="A118" s="3"/>
      <c r="B118" s="6"/>
      <c r="C118" s="3"/>
      <c r="D118" s="35"/>
      <c r="E118" s="35"/>
      <c r="F118" s="46" t="str">
        <f t="shared" si="7"/>
        <v/>
      </c>
      <c r="G118" s="50" t="str">
        <f t="shared" si="8"/>
        <v/>
      </c>
      <c r="H118" s="42"/>
      <c r="I118" s="41"/>
      <c r="J118" s="51" t="str">
        <f t="shared" si="5"/>
        <v/>
      </c>
      <c r="K118" s="47" t="str">
        <f t="shared" si="9"/>
        <v/>
      </c>
      <c r="L118" s="41"/>
      <c r="M118" s="41"/>
      <c r="N118" s="40" t="str">
        <f t="shared" si="6"/>
        <v/>
      </c>
      <c r="O118" s="37"/>
    </row>
    <row r="119" spans="1:15" x14ac:dyDescent="0.15">
      <c r="A119" s="3"/>
      <c r="B119" s="6"/>
      <c r="C119" s="3"/>
      <c r="D119" s="35"/>
      <c r="E119" s="35"/>
      <c r="F119" s="46" t="str">
        <f t="shared" si="7"/>
        <v/>
      </c>
      <c r="G119" s="50" t="str">
        <f t="shared" si="8"/>
        <v/>
      </c>
      <c r="H119" s="42"/>
      <c r="I119" s="41"/>
      <c r="J119" s="51" t="str">
        <f t="shared" si="5"/>
        <v/>
      </c>
      <c r="K119" s="47" t="str">
        <f t="shared" si="9"/>
        <v/>
      </c>
      <c r="L119" s="41"/>
      <c r="M119" s="41"/>
      <c r="N119" s="40" t="str">
        <f t="shared" si="6"/>
        <v/>
      </c>
      <c r="O119" s="37"/>
    </row>
    <row r="120" spans="1:15" x14ac:dyDescent="0.15">
      <c r="A120" s="3"/>
      <c r="B120" s="6"/>
      <c r="C120" s="3"/>
      <c r="D120" s="35"/>
      <c r="E120" s="35"/>
      <c r="F120" s="46" t="str">
        <f t="shared" si="7"/>
        <v/>
      </c>
      <c r="G120" s="50" t="str">
        <f t="shared" si="8"/>
        <v/>
      </c>
      <c r="H120" s="42"/>
      <c r="I120" s="41"/>
      <c r="J120" s="51" t="str">
        <f t="shared" si="5"/>
        <v/>
      </c>
      <c r="K120" s="47" t="str">
        <f t="shared" si="9"/>
        <v/>
      </c>
      <c r="L120" s="41"/>
      <c r="M120" s="41"/>
      <c r="N120" s="40" t="str">
        <f t="shared" si="6"/>
        <v/>
      </c>
      <c r="O120" s="37"/>
    </row>
    <row r="121" spans="1:15" x14ac:dyDescent="0.15">
      <c r="A121" s="3"/>
      <c r="B121" s="6"/>
      <c r="C121" s="3"/>
      <c r="D121" s="35"/>
      <c r="E121" s="35"/>
      <c r="F121" s="46" t="str">
        <f t="shared" si="7"/>
        <v/>
      </c>
      <c r="G121" s="50" t="str">
        <f t="shared" si="8"/>
        <v/>
      </c>
      <c r="H121" s="42"/>
      <c r="I121" s="41"/>
      <c r="J121" s="51" t="str">
        <f t="shared" si="5"/>
        <v/>
      </c>
      <c r="K121" s="47" t="str">
        <f t="shared" si="9"/>
        <v/>
      </c>
      <c r="L121" s="41"/>
      <c r="M121" s="41"/>
      <c r="N121" s="40" t="str">
        <f t="shared" si="6"/>
        <v/>
      </c>
      <c r="O121" s="37"/>
    </row>
    <row r="122" spans="1:15" x14ac:dyDescent="0.15">
      <c r="A122" s="3"/>
      <c r="B122" s="6"/>
      <c r="C122" s="3"/>
      <c r="D122" s="35"/>
      <c r="E122" s="35"/>
      <c r="F122" s="46" t="str">
        <f t="shared" si="7"/>
        <v/>
      </c>
      <c r="G122" s="50" t="str">
        <f t="shared" si="8"/>
        <v/>
      </c>
      <c r="H122" s="42"/>
      <c r="I122" s="41"/>
      <c r="J122" s="51" t="str">
        <f t="shared" si="5"/>
        <v/>
      </c>
      <c r="K122" s="47" t="str">
        <f t="shared" si="9"/>
        <v/>
      </c>
      <c r="L122" s="41"/>
      <c r="M122" s="41"/>
      <c r="N122" s="40" t="str">
        <f t="shared" si="6"/>
        <v/>
      </c>
      <c r="O122" s="37"/>
    </row>
    <row r="123" spans="1:15" x14ac:dyDescent="0.15">
      <c r="A123" s="3"/>
      <c r="B123" s="6"/>
      <c r="C123" s="3"/>
      <c r="D123" s="35"/>
      <c r="E123" s="35"/>
      <c r="F123" s="46" t="str">
        <f t="shared" si="7"/>
        <v/>
      </c>
      <c r="G123" s="50" t="str">
        <f t="shared" si="8"/>
        <v/>
      </c>
      <c r="H123" s="42"/>
      <c r="I123" s="41"/>
      <c r="J123" s="51" t="str">
        <f t="shared" si="5"/>
        <v/>
      </c>
      <c r="K123" s="47" t="str">
        <f t="shared" si="9"/>
        <v/>
      </c>
      <c r="L123" s="41"/>
      <c r="M123" s="41"/>
      <c r="N123" s="40" t="str">
        <f t="shared" si="6"/>
        <v/>
      </c>
      <c r="O123" s="37"/>
    </row>
    <row r="124" spans="1:15" x14ac:dyDescent="0.15">
      <c r="A124" s="3"/>
      <c r="B124" s="6"/>
      <c r="C124" s="3"/>
      <c r="D124" s="35"/>
      <c r="E124" s="35"/>
      <c r="F124" s="46" t="str">
        <f t="shared" si="7"/>
        <v/>
      </c>
      <c r="G124" s="50" t="str">
        <f t="shared" si="8"/>
        <v/>
      </c>
      <c r="H124" s="42"/>
      <c r="I124" s="41"/>
      <c r="J124" s="51" t="str">
        <f t="shared" si="5"/>
        <v/>
      </c>
      <c r="K124" s="47" t="str">
        <f t="shared" si="9"/>
        <v/>
      </c>
      <c r="L124" s="41"/>
      <c r="M124" s="41"/>
      <c r="N124" s="40" t="str">
        <f t="shared" si="6"/>
        <v/>
      </c>
      <c r="O124" s="37"/>
    </row>
    <row r="125" spans="1:15" x14ac:dyDescent="0.15">
      <c r="A125" s="3"/>
      <c r="B125" s="6"/>
      <c r="C125" s="3"/>
      <c r="D125" s="35"/>
      <c r="E125" s="35"/>
      <c r="F125" s="46" t="str">
        <f t="shared" si="7"/>
        <v/>
      </c>
      <c r="G125" s="50" t="str">
        <f t="shared" si="8"/>
        <v/>
      </c>
      <c r="H125" s="42"/>
      <c r="I125" s="41"/>
      <c r="J125" s="51" t="str">
        <f t="shared" si="5"/>
        <v/>
      </c>
      <c r="K125" s="47" t="str">
        <f t="shared" si="9"/>
        <v/>
      </c>
      <c r="L125" s="41"/>
      <c r="M125" s="41"/>
      <c r="N125" s="40" t="str">
        <f t="shared" si="6"/>
        <v/>
      </c>
      <c r="O125" s="37"/>
    </row>
    <row r="126" spans="1:15" x14ac:dyDescent="0.15">
      <c r="A126" s="3"/>
      <c r="B126" s="6"/>
      <c r="C126" s="3"/>
      <c r="D126" s="35"/>
      <c r="E126" s="35"/>
      <c r="F126" s="46" t="str">
        <f t="shared" si="7"/>
        <v/>
      </c>
      <c r="G126" s="50" t="str">
        <f t="shared" si="8"/>
        <v/>
      </c>
      <c r="H126" s="42"/>
      <c r="I126" s="41"/>
      <c r="J126" s="51" t="str">
        <f t="shared" si="5"/>
        <v/>
      </c>
      <c r="K126" s="47" t="str">
        <f t="shared" si="9"/>
        <v/>
      </c>
      <c r="L126" s="41"/>
      <c r="M126" s="41"/>
      <c r="N126" s="40" t="str">
        <f t="shared" si="6"/>
        <v/>
      </c>
      <c r="O126" s="37"/>
    </row>
    <row r="127" spans="1:15" x14ac:dyDescent="0.15">
      <c r="A127" s="3"/>
      <c r="B127" s="6"/>
      <c r="C127" s="3"/>
      <c r="D127" s="35"/>
      <c r="E127" s="35"/>
      <c r="F127" s="46" t="str">
        <f t="shared" si="7"/>
        <v/>
      </c>
      <c r="G127" s="50" t="str">
        <f t="shared" si="8"/>
        <v/>
      </c>
      <c r="H127" s="42"/>
      <c r="I127" s="41"/>
      <c r="J127" s="51" t="str">
        <f t="shared" si="5"/>
        <v/>
      </c>
      <c r="K127" s="47" t="str">
        <f t="shared" si="9"/>
        <v/>
      </c>
      <c r="L127" s="41"/>
      <c r="M127" s="41"/>
      <c r="N127" s="40" t="str">
        <f t="shared" si="6"/>
        <v/>
      </c>
      <c r="O127" s="37"/>
    </row>
    <row r="128" spans="1:15" x14ac:dyDescent="0.15">
      <c r="A128" s="3"/>
      <c r="B128" s="6"/>
      <c r="C128" s="3"/>
      <c r="D128" s="35"/>
      <c r="E128" s="35"/>
      <c r="F128" s="46" t="str">
        <f t="shared" si="7"/>
        <v/>
      </c>
      <c r="G128" s="50" t="str">
        <f t="shared" si="8"/>
        <v/>
      </c>
      <c r="H128" s="42"/>
      <c r="I128" s="41"/>
      <c r="J128" s="51" t="str">
        <f t="shared" si="5"/>
        <v/>
      </c>
      <c r="K128" s="47" t="str">
        <f t="shared" si="9"/>
        <v/>
      </c>
      <c r="L128" s="41"/>
      <c r="M128" s="41"/>
      <c r="N128" s="40" t="str">
        <f t="shared" si="6"/>
        <v/>
      </c>
      <c r="O128" s="37"/>
    </row>
    <row r="129" spans="1:15" x14ac:dyDescent="0.15">
      <c r="A129" s="3"/>
      <c r="B129" s="6"/>
      <c r="C129" s="3"/>
      <c r="D129" s="35"/>
      <c r="E129" s="35"/>
      <c r="F129" s="46" t="str">
        <f t="shared" si="7"/>
        <v/>
      </c>
      <c r="G129" s="50" t="str">
        <f t="shared" si="8"/>
        <v/>
      </c>
      <c r="H129" s="42"/>
      <c r="I129" s="41"/>
      <c r="J129" s="51" t="str">
        <f t="shared" si="5"/>
        <v/>
      </c>
      <c r="K129" s="47" t="str">
        <f t="shared" si="9"/>
        <v/>
      </c>
      <c r="L129" s="41"/>
      <c r="M129" s="41"/>
      <c r="N129" s="40" t="str">
        <f t="shared" si="6"/>
        <v/>
      </c>
      <c r="O129" s="37"/>
    </row>
    <row r="130" spans="1:15" x14ac:dyDescent="0.15">
      <c r="A130" s="3"/>
      <c r="B130" s="6"/>
      <c r="C130" s="3"/>
      <c r="D130" s="35"/>
      <c r="E130" s="35"/>
      <c r="F130" s="46" t="str">
        <f t="shared" si="7"/>
        <v/>
      </c>
      <c r="G130" s="50" t="str">
        <f t="shared" si="8"/>
        <v/>
      </c>
      <c r="H130" s="42"/>
      <c r="I130" s="41"/>
      <c r="J130" s="51" t="str">
        <f t="shared" si="5"/>
        <v/>
      </c>
      <c r="K130" s="47" t="str">
        <f t="shared" si="9"/>
        <v/>
      </c>
      <c r="L130" s="41"/>
      <c r="M130" s="41"/>
      <c r="N130" s="40" t="str">
        <f t="shared" si="6"/>
        <v/>
      </c>
      <c r="O130" s="37"/>
    </row>
    <row r="131" spans="1:15" x14ac:dyDescent="0.15">
      <c r="A131" s="3"/>
      <c r="B131" s="6"/>
      <c r="C131" s="3"/>
      <c r="D131" s="35"/>
      <c r="E131" s="35"/>
      <c r="F131" s="46" t="str">
        <f t="shared" si="7"/>
        <v/>
      </c>
      <c r="G131" s="50" t="str">
        <f t="shared" si="8"/>
        <v/>
      </c>
      <c r="H131" s="42"/>
      <c r="I131" s="41"/>
      <c r="J131" s="51" t="str">
        <f t="shared" si="5"/>
        <v/>
      </c>
      <c r="K131" s="47" t="str">
        <f t="shared" si="9"/>
        <v/>
      </c>
      <c r="L131" s="41"/>
      <c r="M131" s="41"/>
      <c r="N131" s="40" t="str">
        <f t="shared" si="6"/>
        <v/>
      </c>
      <c r="O131" s="37"/>
    </row>
    <row r="132" spans="1:15" x14ac:dyDescent="0.15">
      <c r="A132" s="3"/>
      <c r="B132" s="6"/>
      <c r="C132" s="3"/>
      <c r="D132" s="35"/>
      <c r="E132" s="35"/>
      <c r="F132" s="46" t="str">
        <f t="shared" si="7"/>
        <v/>
      </c>
      <c r="G132" s="50" t="str">
        <f t="shared" si="8"/>
        <v/>
      </c>
      <c r="H132" s="42"/>
      <c r="I132" s="41"/>
      <c r="J132" s="51" t="str">
        <f t="shared" si="5"/>
        <v/>
      </c>
      <c r="K132" s="47" t="str">
        <f t="shared" si="9"/>
        <v/>
      </c>
      <c r="L132" s="41"/>
      <c r="M132" s="41"/>
      <c r="N132" s="40" t="str">
        <f t="shared" si="6"/>
        <v/>
      </c>
      <c r="O132" s="37"/>
    </row>
    <row r="133" spans="1:15" x14ac:dyDescent="0.15">
      <c r="A133" s="3"/>
      <c r="B133" s="6"/>
      <c r="C133" s="3"/>
      <c r="D133" s="35"/>
      <c r="E133" s="35"/>
      <c r="F133" s="46" t="str">
        <f t="shared" si="7"/>
        <v/>
      </c>
      <c r="G133" s="50" t="str">
        <f t="shared" si="8"/>
        <v/>
      </c>
      <c r="H133" s="42"/>
      <c r="I133" s="41"/>
      <c r="J133" s="51" t="str">
        <f t="shared" ref="J133:J153" si="10">IF(I133="","",I133/H133)</f>
        <v/>
      </c>
      <c r="K133" s="47" t="str">
        <f t="shared" si="9"/>
        <v/>
      </c>
      <c r="L133" s="41"/>
      <c r="M133" s="41"/>
      <c r="N133" s="40" t="str">
        <f t="shared" ref="N133:N153" si="11">IF(M133="","",M133/L133)</f>
        <v/>
      </c>
      <c r="O133" s="37"/>
    </row>
    <row r="134" spans="1:15" x14ac:dyDescent="0.15">
      <c r="A134" s="3"/>
      <c r="B134" s="6"/>
      <c r="C134" s="3"/>
      <c r="D134" s="35"/>
      <c r="E134" s="35"/>
      <c r="F134" s="46" t="str">
        <f t="shared" ref="F134:F153" si="12">IF(E134="","",E134/D134)</f>
        <v/>
      </c>
      <c r="G134" s="50" t="str">
        <f t="shared" ref="G134:G153" si="13">IF(E134="","",E134-I134)</f>
        <v/>
      </c>
      <c r="H134" s="42"/>
      <c r="I134" s="41"/>
      <c r="J134" s="51" t="str">
        <f t="shared" si="10"/>
        <v/>
      </c>
      <c r="K134" s="47" t="str">
        <f t="shared" ref="K134:K153" si="14">IF(E134="","",E134-M134)</f>
        <v/>
      </c>
      <c r="L134" s="41"/>
      <c r="M134" s="41"/>
      <c r="N134" s="40" t="str">
        <f t="shared" si="11"/>
        <v/>
      </c>
      <c r="O134" s="37"/>
    </row>
    <row r="135" spans="1:15" x14ac:dyDescent="0.15">
      <c r="A135" s="3"/>
      <c r="B135" s="6"/>
      <c r="C135" s="3"/>
      <c r="D135" s="35"/>
      <c r="E135" s="35"/>
      <c r="F135" s="46" t="str">
        <f t="shared" si="12"/>
        <v/>
      </c>
      <c r="G135" s="50" t="str">
        <f t="shared" si="13"/>
        <v/>
      </c>
      <c r="H135" s="42"/>
      <c r="I135" s="41"/>
      <c r="J135" s="51" t="str">
        <f t="shared" si="10"/>
        <v/>
      </c>
      <c r="K135" s="47" t="str">
        <f t="shared" si="14"/>
        <v/>
      </c>
      <c r="L135" s="41"/>
      <c r="M135" s="41"/>
      <c r="N135" s="40" t="str">
        <f t="shared" si="11"/>
        <v/>
      </c>
      <c r="O135" s="37"/>
    </row>
    <row r="136" spans="1:15" x14ac:dyDescent="0.15">
      <c r="A136" s="3"/>
      <c r="B136" s="6"/>
      <c r="C136" s="3"/>
      <c r="D136" s="35"/>
      <c r="E136" s="35"/>
      <c r="F136" s="46" t="str">
        <f t="shared" si="12"/>
        <v/>
      </c>
      <c r="G136" s="50" t="str">
        <f t="shared" si="13"/>
        <v/>
      </c>
      <c r="H136" s="42"/>
      <c r="I136" s="41"/>
      <c r="J136" s="51" t="str">
        <f t="shared" si="10"/>
        <v/>
      </c>
      <c r="K136" s="47" t="str">
        <f t="shared" si="14"/>
        <v/>
      </c>
      <c r="L136" s="41"/>
      <c r="M136" s="41"/>
      <c r="N136" s="40" t="str">
        <f t="shared" si="11"/>
        <v/>
      </c>
      <c r="O136" s="37"/>
    </row>
    <row r="137" spans="1:15" x14ac:dyDescent="0.15">
      <c r="A137" s="3"/>
      <c r="B137" s="6"/>
      <c r="C137" s="3"/>
      <c r="D137" s="35"/>
      <c r="E137" s="35"/>
      <c r="F137" s="46" t="str">
        <f t="shared" si="12"/>
        <v/>
      </c>
      <c r="G137" s="50" t="str">
        <f t="shared" si="13"/>
        <v/>
      </c>
      <c r="H137" s="42"/>
      <c r="I137" s="41"/>
      <c r="J137" s="51" t="str">
        <f t="shared" si="10"/>
        <v/>
      </c>
      <c r="K137" s="47" t="str">
        <f t="shared" si="14"/>
        <v/>
      </c>
      <c r="L137" s="41"/>
      <c r="M137" s="41"/>
      <c r="N137" s="40" t="str">
        <f t="shared" si="11"/>
        <v/>
      </c>
      <c r="O137" s="37"/>
    </row>
    <row r="138" spans="1:15" x14ac:dyDescent="0.15">
      <c r="A138" s="3"/>
      <c r="B138" s="6"/>
      <c r="C138" s="3"/>
      <c r="D138" s="35"/>
      <c r="E138" s="35"/>
      <c r="F138" s="46" t="str">
        <f t="shared" si="12"/>
        <v/>
      </c>
      <c r="G138" s="50" t="str">
        <f t="shared" si="13"/>
        <v/>
      </c>
      <c r="H138" s="42"/>
      <c r="I138" s="41"/>
      <c r="J138" s="51" t="str">
        <f t="shared" si="10"/>
        <v/>
      </c>
      <c r="K138" s="47" t="str">
        <f t="shared" si="14"/>
        <v/>
      </c>
      <c r="L138" s="41"/>
      <c r="M138" s="41"/>
      <c r="N138" s="40" t="str">
        <f t="shared" si="11"/>
        <v/>
      </c>
      <c r="O138" s="37"/>
    </row>
    <row r="139" spans="1:15" x14ac:dyDescent="0.15">
      <c r="A139" s="3"/>
      <c r="B139" s="6"/>
      <c r="C139" s="3"/>
      <c r="D139" s="35"/>
      <c r="E139" s="35"/>
      <c r="F139" s="46" t="str">
        <f t="shared" si="12"/>
        <v/>
      </c>
      <c r="G139" s="50" t="str">
        <f t="shared" si="13"/>
        <v/>
      </c>
      <c r="H139" s="42"/>
      <c r="I139" s="41"/>
      <c r="J139" s="51" t="str">
        <f t="shared" si="10"/>
        <v/>
      </c>
      <c r="K139" s="47" t="str">
        <f t="shared" si="14"/>
        <v/>
      </c>
      <c r="L139" s="41"/>
      <c r="M139" s="41"/>
      <c r="N139" s="40" t="str">
        <f t="shared" si="11"/>
        <v/>
      </c>
      <c r="O139" s="37"/>
    </row>
    <row r="140" spans="1:15" x14ac:dyDescent="0.15">
      <c r="A140" s="3"/>
      <c r="B140" s="6"/>
      <c r="C140" s="3"/>
      <c r="D140" s="35"/>
      <c r="E140" s="35"/>
      <c r="F140" s="46" t="str">
        <f t="shared" si="12"/>
        <v/>
      </c>
      <c r="G140" s="50" t="str">
        <f t="shared" si="13"/>
        <v/>
      </c>
      <c r="H140" s="42"/>
      <c r="I140" s="41"/>
      <c r="J140" s="51" t="str">
        <f t="shared" si="10"/>
        <v/>
      </c>
      <c r="K140" s="47" t="str">
        <f t="shared" si="14"/>
        <v/>
      </c>
      <c r="L140" s="41"/>
      <c r="M140" s="41"/>
      <c r="N140" s="40" t="str">
        <f t="shared" si="11"/>
        <v/>
      </c>
      <c r="O140" s="37"/>
    </row>
    <row r="141" spans="1:15" x14ac:dyDescent="0.15">
      <c r="A141" s="3"/>
      <c r="B141" s="6"/>
      <c r="C141" s="3"/>
      <c r="D141" s="35"/>
      <c r="E141" s="35"/>
      <c r="F141" s="46" t="str">
        <f t="shared" si="12"/>
        <v/>
      </c>
      <c r="G141" s="50" t="str">
        <f t="shared" si="13"/>
        <v/>
      </c>
      <c r="H141" s="42"/>
      <c r="I141" s="41"/>
      <c r="J141" s="51" t="str">
        <f t="shared" si="10"/>
        <v/>
      </c>
      <c r="K141" s="47" t="str">
        <f t="shared" si="14"/>
        <v/>
      </c>
      <c r="L141" s="41"/>
      <c r="M141" s="41"/>
      <c r="N141" s="40" t="str">
        <f t="shared" si="11"/>
        <v/>
      </c>
      <c r="O141" s="37"/>
    </row>
    <row r="142" spans="1:15" x14ac:dyDescent="0.15">
      <c r="A142" s="3"/>
      <c r="B142" s="6"/>
      <c r="C142" s="3"/>
      <c r="D142" s="35"/>
      <c r="E142" s="35"/>
      <c r="F142" s="46" t="str">
        <f t="shared" si="12"/>
        <v/>
      </c>
      <c r="G142" s="50" t="str">
        <f t="shared" si="13"/>
        <v/>
      </c>
      <c r="H142" s="42"/>
      <c r="I142" s="41"/>
      <c r="J142" s="51" t="str">
        <f t="shared" si="10"/>
        <v/>
      </c>
      <c r="K142" s="47" t="str">
        <f t="shared" si="14"/>
        <v/>
      </c>
      <c r="L142" s="41"/>
      <c r="M142" s="41"/>
      <c r="N142" s="40" t="str">
        <f t="shared" si="11"/>
        <v/>
      </c>
      <c r="O142" s="37"/>
    </row>
    <row r="143" spans="1:15" x14ac:dyDescent="0.15">
      <c r="A143" s="3"/>
      <c r="B143" s="6"/>
      <c r="C143" s="3"/>
      <c r="D143" s="35"/>
      <c r="E143" s="35"/>
      <c r="F143" s="46" t="str">
        <f t="shared" si="12"/>
        <v/>
      </c>
      <c r="G143" s="50" t="str">
        <f t="shared" si="13"/>
        <v/>
      </c>
      <c r="H143" s="42"/>
      <c r="I143" s="41"/>
      <c r="J143" s="51" t="str">
        <f t="shared" si="10"/>
        <v/>
      </c>
      <c r="K143" s="47" t="str">
        <f t="shared" si="14"/>
        <v/>
      </c>
      <c r="L143" s="41"/>
      <c r="M143" s="41"/>
      <c r="N143" s="40" t="str">
        <f t="shared" si="11"/>
        <v/>
      </c>
      <c r="O143" s="37"/>
    </row>
    <row r="144" spans="1:15" x14ac:dyDescent="0.15">
      <c r="A144" s="3"/>
      <c r="B144" s="6"/>
      <c r="C144" s="3"/>
      <c r="D144" s="35"/>
      <c r="E144" s="35"/>
      <c r="F144" s="46" t="str">
        <f t="shared" si="12"/>
        <v/>
      </c>
      <c r="G144" s="50" t="str">
        <f t="shared" si="13"/>
        <v/>
      </c>
      <c r="H144" s="42"/>
      <c r="I144" s="41"/>
      <c r="J144" s="51" t="str">
        <f t="shared" si="10"/>
        <v/>
      </c>
      <c r="K144" s="47" t="str">
        <f t="shared" si="14"/>
        <v/>
      </c>
      <c r="L144" s="41"/>
      <c r="M144" s="41"/>
      <c r="N144" s="40" t="str">
        <f t="shared" si="11"/>
        <v/>
      </c>
      <c r="O144" s="37"/>
    </row>
    <row r="145" spans="1:15" x14ac:dyDescent="0.15">
      <c r="A145" s="3"/>
      <c r="B145" s="6"/>
      <c r="C145" s="3"/>
      <c r="D145" s="35"/>
      <c r="E145" s="35"/>
      <c r="F145" s="46" t="str">
        <f t="shared" si="12"/>
        <v/>
      </c>
      <c r="G145" s="50" t="str">
        <f t="shared" si="13"/>
        <v/>
      </c>
      <c r="H145" s="42"/>
      <c r="I145" s="41"/>
      <c r="J145" s="51" t="str">
        <f t="shared" si="10"/>
        <v/>
      </c>
      <c r="K145" s="47" t="str">
        <f t="shared" si="14"/>
        <v/>
      </c>
      <c r="L145" s="41"/>
      <c r="M145" s="41"/>
      <c r="N145" s="40" t="str">
        <f t="shared" si="11"/>
        <v/>
      </c>
      <c r="O145" s="37"/>
    </row>
    <row r="146" spans="1:15" x14ac:dyDescent="0.15">
      <c r="A146" s="3"/>
      <c r="B146" s="6"/>
      <c r="C146" s="3"/>
      <c r="D146" s="35"/>
      <c r="E146" s="35"/>
      <c r="F146" s="46" t="str">
        <f t="shared" si="12"/>
        <v/>
      </c>
      <c r="G146" s="50" t="str">
        <f t="shared" si="13"/>
        <v/>
      </c>
      <c r="H146" s="42"/>
      <c r="I146" s="41"/>
      <c r="J146" s="51" t="str">
        <f t="shared" si="10"/>
        <v/>
      </c>
      <c r="K146" s="47" t="str">
        <f t="shared" si="14"/>
        <v/>
      </c>
      <c r="L146" s="41"/>
      <c r="M146" s="41"/>
      <c r="N146" s="40" t="str">
        <f t="shared" si="11"/>
        <v/>
      </c>
      <c r="O146" s="37"/>
    </row>
    <row r="147" spans="1:15" x14ac:dyDescent="0.15">
      <c r="A147" s="3"/>
      <c r="B147" s="6"/>
      <c r="C147" s="3"/>
      <c r="D147" s="35"/>
      <c r="E147" s="35"/>
      <c r="F147" s="46" t="str">
        <f t="shared" si="12"/>
        <v/>
      </c>
      <c r="G147" s="50" t="str">
        <f t="shared" si="13"/>
        <v/>
      </c>
      <c r="H147" s="42"/>
      <c r="I147" s="41"/>
      <c r="J147" s="51" t="str">
        <f t="shared" si="10"/>
        <v/>
      </c>
      <c r="K147" s="47" t="str">
        <f t="shared" si="14"/>
        <v/>
      </c>
      <c r="L147" s="41"/>
      <c r="M147" s="41"/>
      <c r="N147" s="40" t="str">
        <f t="shared" si="11"/>
        <v/>
      </c>
      <c r="O147" s="37"/>
    </row>
    <row r="148" spans="1:15" x14ac:dyDescent="0.15">
      <c r="A148" s="3"/>
      <c r="B148" s="6"/>
      <c r="C148" s="3"/>
      <c r="D148" s="35"/>
      <c r="E148" s="35"/>
      <c r="F148" s="46" t="str">
        <f t="shared" si="12"/>
        <v/>
      </c>
      <c r="G148" s="50" t="str">
        <f t="shared" si="13"/>
        <v/>
      </c>
      <c r="H148" s="42"/>
      <c r="I148" s="41"/>
      <c r="J148" s="51" t="str">
        <f t="shared" si="10"/>
        <v/>
      </c>
      <c r="K148" s="47" t="str">
        <f t="shared" si="14"/>
        <v/>
      </c>
      <c r="L148" s="41"/>
      <c r="M148" s="41"/>
      <c r="N148" s="40" t="str">
        <f t="shared" si="11"/>
        <v/>
      </c>
      <c r="O148" s="37"/>
    </row>
    <row r="149" spans="1:15" x14ac:dyDescent="0.15">
      <c r="A149" s="3"/>
      <c r="B149" s="6"/>
      <c r="C149" s="3"/>
      <c r="D149" s="35"/>
      <c r="E149" s="35"/>
      <c r="F149" s="46" t="str">
        <f t="shared" si="12"/>
        <v/>
      </c>
      <c r="G149" s="50" t="str">
        <f t="shared" si="13"/>
        <v/>
      </c>
      <c r="H149" s="42"/>
      <c r="I149" s="41"/>
      <c r="J149" s="51" t="str">
        <f t="shared" si="10"/>
        <v/>
      </c>
      <c r="K149" s="47" t="str">
        <f t="shared" si="14"/>
        <v/>
      </c>
      <c r="L149" s="41"/>
      <c r="M149" s="41"/>
      <c r="N149" s="40" t="str">
        <f t="shared" si="11"/>
        <v/>
      </c>
      <c r="O149" s="37"/>
    </row>
    <row r="150" spans="1:15" x14ac:dyDescent="0.15">
      <c r="A150" s="3"/>
      <c r="B150" s="6"/>
      <c r="C150" s="3"/>
      <c r="D150" s="35"/>
      <c r="E150" s="35"/>
      <c r="F150" s="46" t="str">
        <f t="shared" si="12"/>
        <v/>
      </c>
      <c r="G150" s="50" t="str">
        <f t="shared" si="13"/>
        <v/>
      </c>
      <c r="H150" s="42"/>
      <c r="I150" s="41"/>
      <c r="J150" s="51" t="str">
        <f t="shared" si="10"/>
        <v/>
      </c>
      <c r="K150" s="47" t="str">
        <f t="shared" si="14"/>
        <v/>
      </c>
      <c r="L150" s="41"/>
      <c r="M150" s="41"/>
      <c r="N150" s="40" t="str">
        <f t="shared" si="11"/>
        <v/>
      </c>
      <c r="O150" s="37"/>
    </row>
    <row r="151" spans="1:15" x14ac:dyDescent="0.15">
      <c r="A151" s="3"/>
      <c r="B151" s="6"/>
      <c r="C151" s="3"/>
      <c r="D151" s="35"/>
      <c r="E151" s="35"/>
      <c r="F151" s="46" t="str">
        <f t="shared" si="12"/>
        <v/>
      </c>
      <c r="G151" s="50" t="str">
        <f t="shared" si="13"/>
        <v/>
      </c>
      <c r="H151" s="42"/>
      <c r="I151" s="41"/>
      <c r="J151" s="51" t="str">
        <f t="shared" si="10"/>
        <v/>
      </c>
      <c r="K151" s="47" t="str">
        <f t="shared" si="14"/>
        <v/>
      </c>
      <c r="L151" s="41"/>
      <c r="M151" s="41"/>
      <c r="N151" s="40" t="str">
        <f t="shared" si="11"/>
        <v/>
      </c>
      <c r="O151" s="37"/>
    </row>
    <row r="152" spans="1:15" x14ac:dyDescent="0.15">
      <c r="A152" s="3"/>
      <c r="B152" s="6"/>
      <c r="C152" s="3"/>
      <c r="D152" s="35"/>
      <c r="E152" s="35"/>
      <c r="F152" s="46" t="str">
        <f t="shared" si="12"/>
        <v/>
      </c>
      <c r="G152" s="50" t="str">
        <f t="shared" si="13"/>
        <v/>
      </c>
      <c r="H152" s="42"/>
      <c r="I152" s="41"/>
      <c r="J152" s="51" t="str">
        <f t="shared" si="10"/>
        <v/>
      </c>
      <c r="K152" s="47" t="str">
        <f t="shared" si="14"/>
        <v/>
      </c>
      <c r="L152" s="41"/>
      <c r="M152" s="41"/>
      <c r="N152" s="40" t="str">
        <f t="shared" si="11"/>
        <v/>
      </c>
      <c r="O152" s="37"/>
    </row>
    <row r="153" spans="1:15" x14ac:dyDescent="0.15">
      <c r="A153" s="3"/>
      <c r="B153" s="6"/>
      <c r="C153" s="3"/>
      <c r="D153" s="35"/>
      <c r="E153" s="35"/>
      <c r="F153" s="46" t="str">
        <f t="shared" si="12"/>
        <v/>
      </c>
      <c r="G153" s="50" t="str">
        <f t="shared" si="13"/>
        <v/>
      </c>
      <c r="H153" s="42"/>
      <c r="I153" s="41"/>
      <c r="J153" s="51" t="str">
        <f t="shared" si="10"/>
        <v/>
      </c>
      <c r="K153" s="47" t="str">
        <f t="shared" si="14"/>
        <v/>
      </c>
      <c r="L153" s="41"/>
      <c r="M153" s="41"/>
      <c r="N153" s="40" t="str">
        <f t="shared" si="11"/>
        <v/>
      </c>
      <c r="O153" s="37"/>
    </row>
  </sheetData>
  <mergeCells count="4">
    <mergeCell ref="K3:N3"/>
    <mergeCell ref="A1:B1"/>
    <mergeCell ref="D3:F3"/>
    <mergeCell ref="G3:J3"/>
  </mergeCells>
  <phoneticPr fontId="2"/>
  <pageMargins left="0.78700000000000003" right="0.78700000000000003" top="0.98399999999999999" bottom="0.98399999999999999" header="0.51200000000000001" footer="0.51200000000000001"/>
  <pageSetup paperSize="9" scale="72" fitToHeight="10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oc_Check">
                <anchor moveWithCells="1" sizeWithCells="1">
                  <from>
                    <xdr:col>3</xdr:col>
                    <xdr:colOff>723900</xdr:colOff>
                    <xdr:row>0</xdr:row>
                    <xdr:rowOff>47625</xdr:rowOff>
                  </from>
                  <to>
                    <xdr:col>5</xdr:col>
                    <xdr:colOff>123825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Back_Main">
                <anchor>
                  <from>
                    <xdr:col>11</xdr:col>
                    <xdr:colOff>609600</xdr:colOff>
                    <xdr:row>0</xdr:row>
                    <xdr:rowOff>0</xdr:rowOff>
                  </from>
                  <to>
                    <xdr:col>12</xdr:col>
                    <xdr:colOff>685800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C8"/>
  <sheetViews>
    <sheetView workbookViewId="0"/>
  </sheetViews>
  <sheetFormatPr defaultRowHeight="17.25" x14ac:dyDescent="0.2"/>
  <cols>
    <col min="1" max="1" width="5.125" style="104" customWidth="1"/>
    <col min="2" max="2" width="7.125" style="104" customWidth="1"/>
    <col min="3" max="16384" width="9" style="104"/>
  </cols>
  <sheetData>
    <row r="2" spans="1:3" x14ac:dyDescent="0.2">
      <c r="A2" s="104" t="s">
        <v>155</v>
      </c>
    </row>
    <row r="4" spans="1:3" x14ac:dyDescent="0.2">
      <c r="B4" s="104" t="s">
        <v>154</v>
      </c>
    </row>
    <row r="6" spans="1:3" x14ac:dyDescent="0.2">
      <c r="C6" s="105" t="s">
        <v>157</v>
      </c>
    </row>
    <row r="8" spans="1:3" x14ac:dyDescent="0.2">
      <c r="B8" s="104" t="s">
        <v>156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7</vt:i4>
      </vt:variant>
    </vt:vector>
  </HeadingPairs>
  <TitlesOfParts>
    <vt:vector size="15" baseType="lpstr">
      <vt:lpstr>Main</vt:lpstr>
      <vt:lpstr>Masta</vt:lpstr>
      <vt:lpstr>Data</vt:lpstr>
      <vt:lpstr>Data (臨時)</vt:lpstr>
      <vt:lpstr>PD</vt:lpstr>
      <vt:lpstr>PDR</vt:lpstr>
      <vt:lpstr>Check</vt:lpstr>
      <vt:lpstr>Memo</vt:lpstr>
      <vt:lpstr>Check!Print_Area</vt:lpstr>
      <vt:lpstr>Data!Print_Area</vt:lpstr>
      <vt:lpstr>'Data (臨時)'!Print_Area</vt:lpstr>
      <vt:lpstr>Masta!Print_Area</vt:lpstr>
      <vt:lpstr>PDR!Print_Area</vt:lpstr>
      <vt:lpstr>Data!Print_Titles</vt:lpstr>
      <vt:lpstr>'Data (臨時)'!Print_Titles</vt:lpstr>
    </vt:vector>
  </TitlesOfParts>
  <Company>鳥居金属興業株式会社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OS007</dc:creator>
  <cp:lastModifiedBy>SCOTT</cp:lastModifiedBy>
  <cp:lastPrinted>2022-06-15T06:34:39Z</cp:lastPrinted>
  <dcterms:created xsi:type="dcterms:W3CDTF">2006-07-03T06:14:12Z</dcterms:created>
  <dcterms:modified xsi:type="dcterms:W3CDTF">2022-06-16T07:11:39Z</dcterms:modified>
</cp:coreProperties>
</file>